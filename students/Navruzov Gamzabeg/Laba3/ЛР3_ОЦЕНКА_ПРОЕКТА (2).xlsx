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warrior\Desktop\it projecssdsadas\IT-project-management-AI-23\students\Navruzov Gamzabeg\Laba3\"/>
    </mc:Choice>
  </mc:AlternateContent>
  <xr:revisionPtr revIDLastSave="0" documentId="13_ncr:1_{405EBE2B-EF94-4D4D-8A0E-56292FED6EBE}" xr6:coauthVersionLast="47" xr6:coauthVersionMax="47" xr10:uidLastSave="{00000000-0000-0000-0000-000000000000}"/>
  <bookViews>
    <workbookView xWindow="-108" yWindow="-108" windowWidth="23256" windowHeight="12456" tabRatio="500" xr2:uid="{00000000-000D-0000-FFFF-FFFF00000000}"/>
  </bookViews>
  <sheets>
    <sheet name="Table 2" sheetId="1" r:id="rId1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G2" i="1" l="1"/>
  <c r="G3" i="1" s="1"/>
  <c r="G4" i="1" s="1"/>
  <c r="G5" i="1" s="1"/>
  <c r="F2" i="1"/>
  <c r="F3" i="1" s="1"/>
  <c r="F4" i="1" s="1"/>
  <c r="F5" i="1" s="1"/>
  <c r="G58" i="1" l="1"/>
  <c r="F58" i="1"/>
  <c r="E58" i="1"/>
  <c r="H55" i="1"/>
  <c r="H54" i="1"/>
  <c r="H53" i="1"/>
  <c r="H51" i="1"/>
  <c r="H50" i="1"/>
  <c r="H49" i="1"/>
  <c r="H47" i="1"/>
  <c r="H46" i="1"/>
  <c r="H45" i="1"/>
  <c r="H44" i="1"/>
  <c r="H42" i="1"/>
  <c r="H41" i="1"/>
  <c r="H40" i="1"/>
  <c r="H39" i="1"/>
  <c r="H38" i="1"/>
  <c r="H36" i="1"/>
  <c r="H35" i="1"/>
  <c r="H33" i="1"/>
  <c r="H32" i="1"/>
  <c r="H30" i="1"/>
  <c r="H29" i="1"/>
  <c r="H27" i="1"/>
  <c r="H26" i="1"/>
  <c r="H25" i="1"/>
  <c r="H23" i="1"/>
  <c r="H22" i="1"/>
  <c r="H21" i="1"/>
  <c r="H19" i="1"/>
  <c r="H18" i="1"/>
  <c r="H17" i="1"/>
  <c r="H15" i="1"/>
  <c r="H14" i="1"/>
  <c r="H13" i="1"/>
  <c r="H12" i="1"/>
  <c r="H11" i="1"/>
  <c r="H58" i="1" l="1"/>
</calcChain>
</file>

<file path=xl/sharedStrings.xml><?xml version="1.0" encoding="utf-8"?>
<sst xmlns="http://schemas.openxmlformats.org/spreadsheetml/2006/main" count="106" uniqueCount="106">
  <si>
    <t>Человеко-дни</t>
  </si>
  <si>
    <t>Оптимальная длительность проекта (месяцы)</t>
  </si>
  <si>
    <t>Стоимость нормочаса, руб.</t>
  </si>
  <si>
    <t>Стоимость проекта, руб.</t>
  </si>
  <si>
    <t>Требует
уточнения</t>
  </si>
  <si>
    <t>пункт ТЗ</t>
  </si>
  <si>
    <t>#ПП</t>
  </si>
  <si>
    <t>Работы</t>
  </si>
  <si>
    <t>Ожидаемая оценка
(ч-д)</t>
  </si>
  <si>
    <t>1</t>
  </si>
  <si>
    <t>Разработка ПО</t>
  </si>
  <si>
    <t>Каталог товаров + Фильтрация и сортировка</t>
  </si>
  <si>
    <t>1.1.1</t>
  </si>
  <si>
    <t>Реализация просмотра каталога с выбором категории</t>
  </si>
  <si>
    <t>1.1.2</t>
  </si>
  <si>
    <t>Отображение карточек товаров (изображения, цена, описание)</t>
  </si>
  <si>
    <t>1.1.3</t>
  </si>
  <si>
    <t>Фильтрация по цене, бренду, характеристикам (с обновлением)</t>
  </si>
  <si>
    <t>1.1.4</t>
  </si>
  <si>
    <t>Сохранение фильтров и пагинация</t>
  </si>
  <si>
    <t>1.1.5</t>
  </si>
  <si>
    <t>Сортировка товаров</t>
  </si>
  <si>
    <t xml:space="preserve"> </t>
  </si>
  <si>
    <t>Карточка товара</t>
  </si>
  <si>
    <t>1.2.1</t>
  </si>
  <si>
    <t>Галерея изображений + зум</t>
  </si>
  <si>
    <t>1.2.2</t>
  </si>
  <si>
    <t>Характеристики + отзывы</t>
  </si>
  <si>
    <t>1.2.3</t>
  </si>
  <si>
    <t>Добавление отзывов</t>
  </si>
  <si>
    <t>1,3</t>
  </si>
  <si>
    <t>Корзина</t>
  </si>
  <si>
    <t>1.3.1</t>
  </si>
  <si>
    <t>Добавление в корзину + уведомления</t>
  </si>
  <si>
    <t>1.3.2</t>
  </si>
  <si>
    <t>Изменение количества + пересчёт суммы</t>
  </si>
  <si>
    <t>1.3.3</t>
  </si>
  <si>
    <t>Удаление + перемещение в избранное</t>
  </si>
  <si>
    <t>Авторизация и Личный кабинет</t>
  </si>
  <si>
    <t>1.4.1</t>
  </si>
  <si>
    <t>Регистрация + подтверждение email</t>
  </si>
  <si>
    <t>1.4.2</t>
  </si>
  <si>
    <t>Авторизация + сессия</t>
  </si>
  <si>
    <t>1.4.3</t>
  </si>
  <si>
    <t>Восстановление пароля</t>
  </si>
  <si>
    <t>Оформление заказа + Оплата</t>
  </si>
  <si>
    <t>1.5.1</t>
  </si>
  <si>
    <t>Форма оформления заказа + валидация</t>
  </si>
  <si>
    <t>1.5.2</t>
  </si>
  <si>
    <t>Интеграция с платежной системой</t>
  </si>
  <si>
    <t>Админ-панель</t>
  </si>
  <si>
    <t>1.6.1</t>
  </si>
  <si>
    <t>CRUD товаров (добавление, редактирование, удаление)</t>
  </si>
  <si>
    <t>1.6.2</t>
  </si>
  <si>
    <t>Загрузка и оптимизация изображений</t>
  </si>
  <si>
    <t>Нефункциональные требования, безопасность, DevOps</t>
  </si>
  <si>
    <t>1.7.1</t>
  </si>
  <si>
    <t>Адаптивность + поддержка Chrome/Firefox</t>
  </si>
  <si>
    <t>1.7.2</t>
  </si>
  <si>
    <t>CI/CD + Docker</t>
  </si>
  <si>
    <t>2</t>
  </si>
  <si>
    <t>Тестирование</t>
  </si>
  <si>
    <t>2.1</t>
  </si>
  <si>
    <t>Модульное тестирование</t>
  </si>
  <si>
    <t>2.2</t>
  </si>
  <si>
    <t>Интеграционное тестирование</t>
  </si>
  <si>
    <t>2.3</t>
  </si>
  <si>
    <t>Тестирование пользовательского интерфейса (UI/UX)</t>
  </si>
  <si>
    <t>2.4</t>
  </si>
  <si>
    <t>Нагрузочное и производительности</t>
  </si>
  <si>
    <t>2.5</t>
  </si>
  <si>
    <t>Регрессионное тестирование</t>
  </si>
  <si>
    <t>3</t>
  </si>
  <si>
    <t>Разработка документации</t>
  </si>
  <si>
    <t>3.1</t>
  </si>
  <si>
    <t>Внутренняя документация (архитектура, API)</t>
  </si>
  <si>
    <t>3.2</t>
  </si>
  <si>
    <t>Руководство пользователя</t>
  </si>
  <si>
    <t>3.3</t>
  </si>
  <si>
    <t>Технический проект / Спецификация</t>
  </si>
  <si>
    <t>3.4</t>
  </si>
  <si>
    <t>Регламент использования / Админ-руководство</t>
  </si>
  <si>
    <t>4</t>
  </si>
  <si>
    <t>Внедрение</t>
  </si>
  <si>
    <t>4.1</t>
  </si>
  <si>
    <t>Разработка Docker-контейнеров и скриптов развертывания</t>
  </si>
  <si>
    <t>4.2</t>
  </si>
  <si>
    <t>Установка и настройка на сервере заказчика</t>
  </si>
  <si>
    <t>4.3</t>
  </si>
  <si>
    <t xml:space="preserve">Гарантийное сопровождение </t>
  </si>
  <si>
    <t>5</t>
  </si>
  <si>
    <t>Менеджмент проекта</t>
  </si>
  <si>
    <t>5.1</t>
  </si>
  <si>
    <t>Формирование команды</t>
  </si>
  <si>
    <t>5.2</t>
  </si>
  <si>
    <t>Управление проектом (планирование, контроль)</t>
  </si>
  <si>
    <t>5.3</t>
  </si>
  <si>
    <t>Совещания, планёрки, ретроспективы, отчётность</t>
  </si>
  <si>
    <t>Итог</t>
  </si>
  <si>
    <t>Range start</t>
  </si>
  <si>
    <t>Range finish</t>
  </si>
  <si>
    <t>Человеко часы</t>
  </si>
  <si>
    <t>Человеко месяцы</t>
  </si>
  <si>
    <t>Оптимист
часы</t>
  </si>
  <si>
    <t>Реалист
часы</t>
  </si>
  <si>
    <t>Пессимист
часы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</si>
</sst>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8" x14ac:knownFonts="1">
    <font>
      <sz val="10"/>
      <color rgb="FF000000"/>
      <name val="Times New Roman"/>
      <charset val="204"/>
    </font>
    <font>
      <sz val="11"/>
      <color theme="1"/>
      <name val="Calibri"/>
      <family val="2"/>
      <charset val="1"/>
    </font>
    <font>
      <sz val="12"/>
      <color rgb="FF000000"/>
      <name val="Times New Roman"/>
      <family val="1"/>
      <charset val="204"/>
    </font>
    <font>
      <sz val="12"/>
      <name val="Times New Roman"/>
      <family val="1"/>
      <charset val="204"/>
    </font>
    <font>
      <b/>
      <sz val="12"/>
      <name val="Times New Roman"/>
      <family val="1"/>
      <charset val="204"/>
    </font>
    <font>
      <b/>
      <sz val="12"/>
      <color rgb="FF000000"/>
      <name val="Times New Roman"/>
      <family val="1"/>
      <charset val="204"/>
    </font>
    <font>
      <b/>
      <sz val="10"/>
      <name val="Times New Roman"/>
      <charset val="1"/>
    </font>
    <font>
      <b/>
      <sz val="12"/>
      <color theme="0"/>
      <name val="Times New Roman"/>
      <family val="1"/>
      <charset val="204"/>
    </font>
  </fonts>
  <fills count="7">
    <fill>
      <patternFill patternType="none"/>
    </fill>
    <fill>
      <patternFill patternType="gray125"/>
    </fill>
    <fill>
      <patternFill patternType="solid">
        <fgColor rgb="FFFFFFCC"/>
        <bgColor rgb="FFFFFFFF"/>
      </patternFill>
    </fill>
    <fill>
      <patternFill patternType="solid">
        <fgColor rgb="FF6FAC46"/>
        <bgColor rgb="FF969696"/>
      </patternFill>
    </fill>
    <fill>
      <patternFill patternType="solid">
        <fgColor rgb="FFBCD6ED"/>
        <bgColor rgb="FF99CCFF"/>
      </patternFill>
    </fill>
    <fill>
      <patternFill patternType="solid">
        <fgColor rgb="FFDDEBF7"/>
        <bgColor rgb="FFCCFFFF"/>
      </patternFill>
    </fill>
    <fill>
      <patternFill patternType="solid">
        <fgColor rgb="FFFFD966"/>
      </patternFill>
    </fill>
  </fills>
  <borders count="13">
    <border>
      <left/>
      <right/>
      <top/>
      <bottom/>
      <diagonal/>
    </border>
    <border>
      <left/>
      <right/>
      <top/>
      <bottom style="thin">
        <color rgb="FF6FAC46"/>
      </bottom>
      <diagonal/>
    </border>
    <border>
      <left style="thin">
        <color rgb="FFB1B1B1"/>
      </left>
      <right style="thin">
        <color rgb="FFB1B1B1"/>
      </right>
      <top style="thin">
        <color rgb="FFB1B1B1"/>
      </top>
      <bottom style="thin">
        <color rgb="FFB1B1B1"/>
      </bottom>
      <diagonal/>
    </border>
    <border>
      <left style="thin">
        <color rgb="FFB1B1B1"/>
      </left>
      <right/>
      <top style="thin">
        <color rgb="FF6FAC46"/>
      </top>
      <bottom style="thin">
        <color rgb="FF6FAC46"/>
      </bottom>
      <diagonal/>
    </border>
    <border>
      <left/>
      <right/>
      <top style="thin">
        <color rgb="FF6FAC46"/>
      </top>
      <bottom style="thin">
        <color rgb="FF6FAC46"/>
      </bottom>
      <diagonal/>
    </border>
    <border>
      <left/>
      <right style="thin">
        <color rgb="FF6FAC46"/>
      </right>
      <top style="thin">
        <color rgb="FF6FAC46"/>
      </top>
      <bottom style="thin">
        <color rgb="FF6FAC46"/>
      </bottom>
      <diagonal/>
    </border>
    <border>
      <left style="thin">
        <color auto="1"/>
      </left>
      <right/>
      <top style="thin">
        <color rgb="FF6FAC46"/>
      </top>
      <bottom style="thin">
        <color rgb="FF6FAC46"/>
      </bottom>
      <diagonal/>
    </border>
    <border>
      <left/>
      <right style="thin">
        <color auto="1"/>
      </right>
      <top style="thin">
        <color rgb="FF6FAC46"/>
      </top>
      <bottom style="thin">
        <color rgb="FF6FAC46"/>
      </bottom>
      <diagonal/>
    </border>
    <border>
      <left style="thin">
        <color rgb="FFB1B1B1"/>
      </left>
      <right style="thin">
        <color rgb="FFB1B1B1"/>
      </right>
      <top style="thin">
        <color rgb="FF6FAC46"/>
      </top>
      <bottom style="thin">
        <color rgb="FFB1B1B1"/>
      </bottom>
      <diagonal/>
    </border>
    <border>
      <left style="thin">
        <color rgb="FFB1B1B1"/>
      </left>
      <right/>
      <top style="thin">
        <color rgb="FF6FAC46"/>
      </top>
      <bottom/>
      <diagonal/>
    </border>
    <border>
      <left/>
      <right style="thin">
        <color auto="1"/>
      </right>
      <top style="thin">
        <color rgb="FF6FAC46"/>
      </top>
      <bottom/>
      <diagonal/>
    </border>
    <border>
      <left style="thin">
        <color auto="1"/>
      </left>
      <right/>
      <top style="thin">
        <color rgb="FF6FAC46"/>
      </top>
      <bottom/>
      <diagonal/>
    </border>
    <border>
      <left/>
      <right/>
      <top style="thin">
        <color rgb="FF6FAC46"/>
      </top>
      <bottom/>
      <diagonal/>
    </border>
  </borders>
  <cellStyleXfs count="2">
    <xf numFmtId="0" fontId="0" fillId="0" borderId="0"/>
    <xf numFmtId="0" fontId="1" fillId="0" borderId="0"/>
  </cellStyleXfs>
  <cellXfs count="53">
    <xf numFmtId="0" fontId="0" fillId="0" borderId="0" xfId="0"/>
    <xf numFmtId="0" fontId="2" fillId="0" borderId="0" xfId="0" applyFont="1" applyAlignment="1">
      <alignment horizontal="left" vertical="top"/>
    </xf>
    <xf numFmtId="0" fontId="2" fillId="2" borderId="2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3" borderId="3" xfId="0" applyFont="1" applyFill="1" applyBorder="1" applyAlignment="1">
      <alignment horizontal="center" vertical="center" wrapText="1"/>
    </xf>
    <xf numFmtId="0" fontId="2" fillId="4" borderId="2" xfId="0" applyFont="1" applyFill="1" applyBorder="1" applyAlignment="1">
      <alignment horizontal="left" wrapText="1"/>
    </xf>
    <xf numFmtId="49" fontId="5" fillId="4" borderId="3" xfId="0" applyNumberFormat="1" applyFont="1" applyFill="1" applyBorder="1" applyAlignment="1">
      <alignment horizontal="center" vertical="center" shrinkToFit="1"/>
    </xf>
    <xf numFmtId="0" fontId="4" fillId="4" borderId="4" xfId="0" applyFont="1" applyFill="1" applyBorder="1" applyAlignment="1">
      <alignment horizontal="center" vertical="center" wrapText="1"/>
    </xf>
    <xf numFmtId="0" fontId="2" fillId="5" borderId="2" xfId="0" applyFont="1" applyFill="1" applyBorder="1" applyAlignment="1">
      <alignment horizontal="left" wrapText="1"/>
    </xf>
    <xf numFmtId="49" fontId="2" fillId="5" borderId="3" xfId="0" applyNumberFormat="1" applyFont="1" applyFill="1" applyBorder="1" applyAlignment="1">
      <alignment horizontal="center" vertical="center" shrinkToFit="1"/>
    </xf>
    <xf numFmtId="0" fontId="3" fillId="5" borderId="4" xfId="0" applyFont="1" applyFill="1" applyBorder="1" applyAlignment="1">
      <alignment horizontal="center" vertical="center" wrapText="1"/>
    </xf>
    <xf numFmtId="0" fontId="2" fillId="5" borderId="4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left" wrapText="1"/>
    </xf>
    <xf numFmtId="49" fontId="3" fillId="0" borderId="3" xfId="0" applyNumberFormat="1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1" fontId="6" fillId="0" borderId="6" xfId="0" applyNumberFormat="1" applyFont="1" applyBorder="1" applyAlignment="1">
      <alignment horizontal="center" vertical="center" shrinkToFit="1"/>
    </xf>
    <xf numFmtId="1" fontId="6" fillId="0" borderId="4" xfId="0" applyNumberFormat="1" applyFont="1" applyBorder="1" applyAlignment="1">
      <alignment horizontal="center" vertical="center" shrinkToFit="1"/>
    </xf>
    <xf numFmtId="1" fontId="6" fillId="0" borderId="5" xfId="0" applyNumberFormat="1" applyFont="1" applyBorder="1" applyAlignment="1">
      <alignment horizontal="center" vertical="center" shrinkToFit="1"/>
    </xf>
    <xf numFmtId="1" fontId="5" fillId="0" borderId="4" xfId="0" applyNumberFormat="1" applyFont="1" applyBorder="1" applyAlignment="1">
      <alignment horizontal="center" vertical="center" shrinkToFit="1"/>
    </xf>
    <xf numFmtId="0" fontId="2" fillId="2" borderId="2" xfId="0" applyFont="1" applyFill="1" applyBorder="1" applyAlignment="1">
      <alignment horizontal="left" vertical="center" wrapText="1"/>
    </xf>
    <xf numFmtId="0" fontId="2" fillId="5" borderId="2" xfId="0" applyFont="1" applyFill="1" applyBorder="1" applyAlignment="1">
      <alignment horizontal="left" vertical="center" wrapText="1"/>
    </xf>
    <xf numFmtId="0" fontId="3" fillId="0" borderId="7" xfId="0" applyFont="1" applyBorder="1" applyAlignment="1">
      <alignment horizontal="center" vertical="center" wrapText="1"/>
    </xf>
    <xf numFmtId="0" fontId="2" fillId="0" borderId="7" xfId="0" applyFont="1" applyBorder="1" applyAlignment="1">
      <alignment horizontal="center" vertical="center" wrapText="1"/>
    </xf>
    <xf numFmtId="1" fontId="2" fillId="0" borderId="6" xfId="0" applyNumberFormat="1" applyFont="1" applyBorder="1" applyAlignment="1">
      <alignment horizontal="center" vertical="center" shrinkToFit="1"/>
    </xf>
    <xf numFmtId="1" fontId="2" fillId="0" borderId="4" xfId="0" applyNumberFormat="1" applyFont="1" applyBorder="1" applyAlignment="1">
      <alignment horizontal="center" vertical="center" shrinkToFit="1"/>
    </xf>
    <xf numFmtId="1" fontId="2" fillId="0" borderId="5" xfId="0" applyNumberFormat="1" applyFont="1" applyBorder="1" applyAlignment="1">
      <alignment horizontal="center" vertical="center" shrinkToFit="1"/>
    </xf>
    <xf numFmtId="0" fontId="2" fillId="5" borderId="8" xfId="0" applyFont="1" applyFill="1" applyBorder="1" applyAlignment="1">
      <alignment horizontal="left" wrapText="1"/>
    </xf>
    <xf numFmtId="49" fontId="3" fillId="0" borderId="9" xfId="0" applyNumberFormat="1" applyFont="1" applyBorder="1" applyAlignment="1">
      <alignment horizontal="center" vertical="center" wrapText="1"/>
    </xf>
    <xf numFmtId="0" fontId="3" fillId="0" borderId="10" xfId="0" applyFont="1" applyBorder="1" applyAlignment="1">
      <alignment horizontal="center" vertical="center" wrapText="1"/>
    </xf>
    <xf numFmtId="1" fontId="2" fillId="0" borderId="11" xfId="0" applyNumberFormat="1" applyFont="1" applyBorder="1" applyAlignment="1">
      <alignment horizontal="center" vertical="center" shrinkToFit="1"/>
    </xf>
    <xf numFmtId="1" fontId="2" fillId="0" borderId="12" xfId="0" applyNumberFormat="1" applyFont="1" applyBorder="1" applyAlignment="1">
      <alignment horizontal="center" vertical="center" shrinkToFit="1"/>
    </xf>
    <xf numFmtId="164" fontId="2" fillId="0" borderId="3" xfId="0" applyNumberFormat="1" applyFont="1" applyBorder="1" applyAlignment="1">
      <alignment horizontal="center" vertical="center" shrinkToFit="1"/>
    </xf>
    <xf numFmtId="0" fontId="2" fillId="0" borderId="3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4" fillId="2" borderId="2" xfId="0" applyFont="1" applyFill="1" applyBorder="1" applyAlignment="1">
      <alignment horizontal="left" vertical="top" wrapText="1"/>
    </xf>
    <xf numFmtId="0" fontId="2" fillId="6" borderId="0" xfId="0" applyFont="1" applyFill="1" applyAlignment="1">
      <alignment horizontal="left" wrapText="1"/>
    </xf>
    <xf numFmtId="0" fontId="3" fillId="6" borderId="0" xfId="0" applyFont="1" applyFill="1" applyAlignment="1">
      <alignment horizontal="center" vertical="center" wrapText="1"/>
    </xf>
    <xf numFmtId="0" fontId="2" fillId="6" borderId="0" xfId="0" applyFont="1" applyFill="1" applyAlignment="1">
      <alignment horizontal="right" vertical="center" wrapText="1"/>
    </xf>
    <xf numFmtId="0" fontId="3" fillId="6" borderId="0" xfId="0" applyFont="1" applyFill="1" applyAlignment="1">
      <alignment horizontal="right" vertical="center" wrapText="1"/>
    </xf>
    <xf numFmtId="2" fontId="3" fillId="6" borderId="0" xfId="0" applyNumberFormat="1" applyFont="1" applyFill="1" applyAlignment="1">
      <alignment horizontal="center" vertical="center" wrapText="1"/>
    </xf>
    <xf numFmtId="2" fontId="2" fillId="6" borderId="0" xfId="0" applyNumberFormat="1" applyFont="1" applyFill="1" applyAlignment="1">
      <alignment horizontal="center" vertical="center" shrinkToFit="1"/>
    </xf>
    <xf numFmtId="2" fontId="3" fillId="6" borderId="1" xfId="0" applyNumberFormat="1" applyFont="1" applyFill="1" applyBorder="1" applyAlignment="1">
      <alignment horizontal="center" vertical="center" wrapText="1"/>
    </xf>
    <xf numFmtId="0" fontId="7" fillId="3" borderId="4" xfId="0" applyFont="1" applyFill="1" applyBorder="1" applyAlignment="1">
      <alignment horizontal="center" vertical="center" wrapText="1"/>
    </xf>
    <xf numFmtId="0" fontId="7" fillId="3" borderId="5" xfId="0" applyFont="1" applyFill="1" applyBorder="1" applyAlignment="1">
      <alignment horizontal="center" vertical="center" wrapText="1"/>
    </xf>
    <xf numFmtId="1" fontId="2" fillId="0" borderId="0" xfId="0" applyNumberFormat="1" applyFont="1" applyAlignment="1">
      <alignment horizontal="left" vertical="top"/>
    </xf>
    <xf numFmtId="0" fontId="2" fillId="4" borderId="6" xfId="0" applyFont="1" applyFill="1" applyBorder="1" applyAlignment="1">
      <alignment horizontal="center" vertical="center" wrapText="1"/>
    </xf>
    <xf numFmtId="0" fontId="2" fillId="4" borderId="4" xfId="0" applyFont="1" applyFill="1" applyBorder="1" applyAlignment="1">
      <alignment horizontal="center" vertical="center" wrapText="1"/>
    </xf>
    <xf numFmtId="0" fontId="2" fillId="4" borderId="5" xfId="0" applyFont="1" applyFill="1" applyBorder="1" applyAlignment="1">
      <alignment horizontal="center" vertical="center" wrapText="1"/>
    </xf>
    <xf numFmtId="0" fontId="4" fillId="6" borderId="0" xfId="0" applyFont="1" applyFill="1" applyAlignment="1">
      <alignment horizontal="right" vertical="center" wrapText="1"/>
    </xf>
    <xf numFmtId="0" fontId="3" fillId="6" borderId="0" xfId="0" applyFont="1" applyFill="1" applyAlignment="1">
      <alignment horizontal="right" vertical="center" wrapText="1"/>
    </xf>
    <xf numFmtId="0" fontId="2" fillId="0" borderId="1" xfId="0" applyFont="1" applyBorder="1" applyAlignment="1">
      <alignment horizontal="left" vertical="top" wrapText="1"/>
    </xf>
  </cellXfs>
  <cellStyles count="2">
    <cellStyle name="Обычный" xfId="0" builtinId="0"/>
    <cellStyle name="Обычный 2" xfId="1" xr:uid="{00000000-0005-0000-0000-000006000000}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1B1B1"/>
      <rgbColor rgb="FF808080"/>
      <rgbColor rgb="FF9999FF"/>
      <rgbColor rgb="FF993366"/>
      <rgbColor rgb="FFFFFFCC"/>
      <rgbColor rgb="FFDDEBF7"/>
      <rgbColor rgb="FF660066"/>
      <rgbColor rgb="FFFF8080"/>
      <rgbColor rgb="FF0066CC"/>
      <rgbColor rgb="FFBCD6ED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D966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6FAC4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91"/>
  <sheetViews>
    <sheetView tabSelected="1" zoomScale="73" zoomScaleNormal="85" workbookViewId="0">
      <selection activeCell="L13" sqref="L13"/>
    </sheetView>
  </sheetViews>
  <sheetFormatPr defaultColWidth="8.77734375" defaultRowHeight="13.2" x14ac:dyDescent="0.25"/>
  <cols>
    <col min="1" max="1" width="14" customWidth="1"/>
    <col min="2" max="2" width="8.6640625" customWidth="1"/>
    <col min="3" max="3" width="8" customWidth="1"/>
    <col min="4" max="4" width="84.6640625" customWidth="1"/>
    <col min="5" max="5" width="16.44140625" customWidth="1"/>
    <col min="6" max="6" width="16" customWidth="1"/>
    <col min="7" max="7" width="16.21875" customWidth="1"/>
    <col min="8" max="9" width="15.6640625" customWidth="1"/>
  </cols>
  <sheetData>
    <row r="1" spans="1:10" ht="30" customHeight="1" x14ac:dyDescent="0.3">
      <c r="A1" s="52"/>
      <c r="B1" s="52"/>
      <c r="C1" s="52"/>
      <c r="D1" s="37"/>
      <c r="E1" s="37"/>
      <c r="F1" s="38" t="s">
        <v>99</v>
      </c>
      <c r="G1" s="38" t="s">
        <v>100</v>
      </c>
      <c r="H1" s="1"/>
      <c r="I1" s="1"/>
      <c r="J1" s="1"/>
    </row>
    <row r="2" spans="1:10" ht="30" customHeight="1" x14ac:dyDescent="0.25">
      <c r="A2" s="52"/>
      <c r="B2" s="52"/>
      <c r="C2" s="52"/>
      <c r="D2" s="39"/>
      <c r="E2" s="40" t="s">
        <v>101</v>
      </c>
      <c r="F2" s="41">
        <f>E58</f>
        <v>1413</v>
      </c>
      <c r="G2" s="41">
        <f>G58</f>
        <v>3165</v>
      </c>
      <c r="H2" s="1"/>
      <c r="I2" s="1"/>
      <c r="J2" s="1"/>
    </row>
    <row r="3" spans="1:10" ht="30" customHeight="1" x14ac:dyDescent="0.25">
      <c r="A3" s="52"/>
      <c r="B3" s="52"/>
      <c r="C3" s="52"/>
      <c r="D3" s="51" t="s">
        <v>0</v>
      </c>
      <c r="E3" s="51"/>
      <c r="F3" s="41">
        <f>F2/8</f>
        <v>176.625</v>
      </c>
      <c r="G3" s="41">
        <f>G2/8</f>
        <v>395.625</v>
      </c>
      <c r="H3" s="1"/>
      <c r="I3" s="1"/>
      <c r="J3" s="1"/>
    </row>
    <row r="4" spans="1:10" ht="30" customHeight="1" x14ac:dyDescent="0.25">
      <c r="A4" s="52"/>
      <c r="B4" s="52"/>
      <c r="C4" s="52"/>
      <c r="D4" s="51" t="s">
        <v>102</v>
      </c>
      <c r="E4" s="51"/>
      <c r="F4" s="41">
        <f>F3/22</f>
        <v>8.0284090909090917</v>
      </c>
      <c r="G4" s="41">
        <f>G3/22</f>
        <v>17.982954545454547</v>
      </c>
      <c r="H4" s="1"/>
      <c r="I4" s="1"/>
      <c r="J4" s="1"/>
    </row>
    <row r="5" spans="1:10" ht="27" customHeight="1" x14ac:dyDescent="0.25">
      <c r="A5" s="52"/>
      <c r="B5" s="52"/>
      <c r="C5" s="52"/>
      <c r="D5" s="51" t="s">
        <v>1</v>
      </c>
      <c r="E5" s="51"/>
      <c r="F5" s="41">
        <f>F4/2</f>
        <v>4.0142045454545459</v>
      </c>
      <c r="G5" s="41">
        <f>G4/2</f>
        <v>8.9914772727272734</v>
      </c>
      <c r="H5" s="1"/>
      <c r="I5" s="1"/>
      <c r="J5" s="1"/>
    </row>
    <row r="6" spans="1:10" ht="30" customHeight="1" x14ac:dyDescent="0.25">
      <c r="A6" s="52"/>
      <c r="B6" s="52"/>
      <c r="C6" s="52"/>
      <c r="D6" s="51" t="s">
        <v>2</v>
      </c>
      <c r="E6" s="51"/>
      <c r="F6" s="42">
        <v>300</v>
      </c>
      <c r="G6" s="42">
        <v>350</v>
      </c>
      <c r="H6" s="1"/>
      <c r="I6" s="1"/>
      <c r="J6" s="1"/>
    </row>
    <row r="7" spans="1:10" ht="45" customHeight="1" x14ac:dyDescent="0.25">
      <c r="D7" s="50" t="s">
        <v>3</v>
      </c>
      <c r="E7" s="50"/>
      <c r="F7" s="43">
        <v>257000</v>
      </c>
      <c r="G7" s="43">
        <v>378000</v>
      </c>
      <c r="J7" s="1"/>
    </row>
    <row r="8" spans="1:10" ht="30" customHeight="1" x14ac:dyDescent="0.25">
      <c r="A8" s="2" t="s">
        <v>4</v>
      </c>
      <c r="B8" s="3" t="s">
        <v>5</v>
      </c>
      <c r="C8" s="4" t="s">
        <v>6</v>
      </c>
      <c r="D8" s="44" t="s">
        <v>7</v>
      </c>
      <c r="E8" s="44" t="s">
        <v>103</v>
      </c>
      <c r="F8" s="44" t="s">
        <v>104</v>
      </c>
      <c r="G8" s="45" t="s">
        <v>105</v>
      </c>
      <c r="H8" s="44" t="s">
        <v>8</v>
      </c>
      <c r="I8" s="1"/>
      <c r="J8" s="1"/>
    </row>
    <row r="9" spans="1:10" ht="30" customHeight="1" x14ac:dyDescent="0.3">
      <c r="A9" s="5"/>
      <c r="B9" s="5"/>
      <c r="C9" s="6" t="s">
        <v>9</v>
      </c>
      <c r="D9" s="7" t="s">
        <v>10</v>
      </c>
      <c r="E9" s="47"/>
      <c r="F9" s="48"/>
      <c r="G9" s="49"/>
      <c r="H9" s="1"/>
      <c r="I9" s="1"/>
      <c r="J9" s="1"/>
    </row>
    <row r="10" spans="1:10" ht="30" customHeight="1" x14ac:dyDescent="0.3">
      <c r="A10" s="8"/>
      <c r="B10" s="8"/>
      <c r="C10" s="9">
        <v>1.1000000000000001</v>
      </c>
      <c r="D10" s="10" t="s">
        <v>11</v>
      </c>
      <c r="E10" s="11"/>
      <c r="F10" s="11"/>
      <c r="G10" s="11"/>
      <c r="H10" s="1"/>
      <c r="I10" s="1"/>
      <c r="J10" s="1"/>
    </row>
    <row r="11" spans="1:10" ht="30" customHeight="1" x14ac:dyDescent="0.3">
      <c r="A11" s="12"/>
      <c r="B11" s="12"/>
      <c r="C11" s="13" t="s">
        <v>12</v>
      </c>
      <c r="D11" s="14" t="s">
        <v>13</v>
      </c>
      <c r="E11" s="15">
        <v>26</v>
      </c>
      <c r="F11" s="16">
        <v>44</v>
      </c>
      <c r="G11" s="17">
        <v>63</v>
      </c>
      <c r="H11" s="18">
        <f>SUM(E11:G11)</f>
        <v>133</v>
      </c>
      <c r="I11" s="1"/>
      <c r="J11" s="1"/>
    </row>
    <row r="12" spans="1:10" ht="30" customHeight="1" x14ac:dyDescent="0.25">
      <c r="A12" s="19"/>
      <c r="B12" s="19"/>
      <c r="C12" s="13" t="s">
        <v>14</v>
      </c>
      <c r="D12" s="14" t="s">
        <v>15</v>
      </c>
      <c r="E12" s="15">
        <v>39</v>
      </c>
      <c r="F12" s="16">
        <v>55</v>
      </c>
      <c r="G12" s="17">
        <v>84</v>
      </c>
      <c r="H12" s="18">
        <f>SUM(E12:G12)</f>
        <v>178</v>
      </c>
      <c r="J12" s="1"/>
    </row>
    <row r="13" spans="1:10" ht="30" customHeight="1" x14ac:dyDescent="0.25">
      <c r="A13" s="19"/>
      <c r="B13" s="19"/>
      <c r="C13" s="13" t="s">
        <v>16</v>
      </c>
      <c r="D13" s="14" t="s">
        <v>17</v>
      </c>
      <c r="E13" s="15">
        <v>52</v>
      </c>
      <c r="F13" s="16">
        <v>77</v>
      </c>
      <c r="G13" s="17">
        <v>125</v>
      </c>
      <c r="H13" s="18">
        <f>SUM(E13:G13)</f>
        <v>254</v>
      </c>
      <c r="J13" s="1"/>
    </row>
    <row r="14" spans="1:10" ht="30" customHeight="1" x14ac:dyDescent="0.25">
      <c r="A14" s="19"/>
      <c r="B14" s="19"/>
      <c r="C14" s="13" t="s">
        <v>18</v>
      </c>
      <c r="D14" s="14" t="s">
        <v>19</v>
      </c>
      <c r="E14" s="15">
        <v>26</v>
      </c>
      <c r="F14" s="16">
        <v>33</v>
      </c>
      <c r="G14" s="17">
        <v>52</v>
      </c>
      <c r="H14" s="18">
        <f>SUM(E14:G14)</f>
        <v>111</v>
      </c>
      <c r="J14" s="1"/>
    </row>
    <row r="15" spans="1:10" ht="30" customHeight="1" x14ac:dyDescent="0.25">
      <c r="A15" s="19"/>
      <c r="B15" s="19"/>
      <c r="C15" s="13" t="s">
        <v>20</v>
      </c>
      <c r="D15" s="14" t="s">
        <v>21</v>
      </c>
      <c r="E15" s="15">
        <v>13</v>
      </c>
      <c r="F15" s="16">
        <v>22</v>
      </c>
      <c r="G15" s="17">
        <v>42</v>
      </c>
      <c r="H15" s="18">
        <f>SUM(E15:G15)</f>
        <v>77</v>
      </c>
      <c r="J15" s="1"/>
    </row>
    <row r="16" spans="1:10" ht="30" customHeight="1" x14ac:dyDescent="0.25">
      <c r="A16" s="20" t="s">
        <v>22</v>
      </c>
      <c r="B16" s="20"/>
      <c r="C16" s="9">
        <v>1.2</v>
      </c>
      <c r="D16" s="10" t="s">
        <v>23</v>
      </c>
      <c r="E16" s="11"/>
      <c r="F16" s="11"/>
      <c r="G16" s="11"/>
      <c r="H16" s="18"/>
      <c r="J16" s="1"/>
    </row>
    <row r="17" spans="1:10" ht="30" customHeight="1" x14ac:dyDescent="0.25">
      <c r="A17" s="19"/>
      <c r="B17" s="19"/>
      <c r="C17" s="13" t="s">
        <v>24</v>
      </c>
      <c r="D17" s="21" t="s">
        <v>25</v>
      </c>
      <c r="E17" s="15">
        <v>26</v>
      </c>
      <c r="F17" s="16">
        <v>44</v>
      </c>
      <c r="G17" s="17">
        <v>63</v>
      </c>
      <c r="H17" s="18">
        <f>SUM(E17:G17)</f>
        <v>133</v>
      </c>
      <c r="J17" s="1"/>
    </row>
    <row r="18" spans="1:10" ht="30" customHeight="1" x14ac:dyDescent="0.25">
      <c r="A18" s="19"/>
      <c r="B18" s="19"/>
      <c r="C18" s="13" t="s">
        <v>26</v>
      </c>
      <c r="D18" s="21" t="s">
        <v>27</v>
      </c>
      <c r="E18" s="15">
        <v>26</v>
      </c>
      <c r="F18" s="16">
        <v>33</v>
      </c>
      <c r="G18" s="17">
        <v>52</v>
      </c>
      <c r="H18" s="18">
        <f>SUM(E18:G18)</f>
        <v>111</v>
      </c>
      <c r="J18" s="1"/>
    </row>
    <row r="19" spans="1:10" ht="30" customHeight="1" x14ac:dyDescent="0.25">
      <c r="A19" s="19"/>
      <c r="B19" s="19"/>
      <c r="C19" s="13" t="s">
        <v>28</v>
      </c>
      <c r="D19" s="21" t="s">
        <v>29</v>
      </c>
      <c r="E19" s="15">
        <v>26</v>
      </c>
      <c r="F19" s="16">
        <v>44</v>
      </c>
      <c r="G19" s="17">
        <v>63</v>
      </c>
      <c r="H19" s="18">
        <f>SUM(E19:G19)</f>
        <v>133</v>
      </c>
      <c r="J19" s="1"/>
    </row>
    <row r="20" spans="1:10" ht="30" customHeight="1" x14ac:dyDescent="0.3">
      <c r="A20" s="8"/>
      <c r="B20" s="8"/>
      <c r="C20" s="9" t="s">
        <v>30</v>
      </c>
      <c r="D20" s="10" t="s">
        <v>31</v>
      </c>
      <c r="E20" s="11"/>
      <c r="F20" s="11"/>
      <c r="G20" s="11"/>
      <c r="H20" s="18"/>
      <c r="J20" s="1"/>
    </row>
    <row r="21" spans="1:10" ht="30" customHeight="1" x14ac:dyDescent="0.3">
      <c r="A21" s="12"/>
      <c r="B21" s="12"/>
      <c r="C21" s="13" t="s">
        <v>32</v>
      </c>
      <c r="D21" s="21" t="s">
        <v>33</v>
      </c>
      <c r="E21" s="15">
        <v>26</v>
      </c>
      <c r="F21" s="16">
        <v>33</v>
      </c>
      <c r="G21" s="17">
        <v>52</v>
      </c>
      <c r="H21" s="18">
        <f>SUM(E21:G21)</f>
        <v>111</v>
      </c>
      <c r="J21" s="1"/>
    </row>
    <row r="22" spans="1:10" ht="30" customHeight="1" x14ac:dyDescent="0.25">
      <c r="A22" s="19"/>
      <c r="B22" s="19"/>
      <c r="C22" s="13" t="s">
        <v>34</v>
      </c>
      <c r="D22" s="21" t="s">
        <v>35</v>
      </c>
      <c r="E22" s="15">
        <v>19</v>
      </c>
      <c r="F22" s="16">
        <v>27</v>
      </c>
      <c r="G22" s="17">
        <v>42</v>
      </c>
      <c r="H22" s="18">
        <f>SUM(E22:G22)</f>
        <v>88</v>
      </c>
      <c r="J22" s="1"/>
    </row>
    <row r="23" spans="1:10" ht="30" customHeight="1" x14ac:dyDescent="0.25">
      <c r="A23" s="19"/>
      <c r="B23" s="19"/>
      <c r="C23" s="13" t="s">
        <v>36</v>
      </c>
      <c r="D23" s="21" t="s">
        <v>37</v>
      </c>
      <c r="E23" s="15">
        <v>13</v>
      </c>
      <c r="F23" s="16">
        <v>27</v>
      </c>
      <c r="G23" s="17">
        <v>42</v>
      </c>
      <c r="H23" s="18">
        <f>SUM(E23:G23)</f>
        <v>82</v>
      </c>
      <c r="J23" s="1"/>
    </row>
    <row r="24" spans="1:10" ht="30" customHeight="1" x14ac:dyDescent="0.3">
      <c r="A24" s="8"/>
      <c r="B24" s="8"/>
      <c r="C24" s="9">
        <v>1.4</v>
      </c>
      <c r="D24" s="10" t="s">
        <v>38</v>
      </c>
      <c r="E24" s="11"/>
      <c r="F24" s="11"/>
      <c r="G24" s="11"/>
      <c r="H24" s="18"/>
      <c r="J24" s="1"/>
    </row>
    <row r="25" spans="1:10" ht="30" customHeight="1" x14ac:dyDescent="0.25">
      <c r="A25" s="19"/>
      <c r="B25" s="19"/>
      <c r="C25" s="13" t="s">
        <v>39</v>
      </c>
      <c r="D25" s="21" t="s">
        <v>40</v>
      </c>
      <c r="E25" s="15">
        <v>26</v>
      </c>
      <c r="F25" s="16">
        <v>33</v>
      </c>
      <c r="G25" s="17">
        <v>52</v>
      </c>
      <c r="H25" s="18">
        <f>SUM(E25:G25)</f>
        <v>111</v>
      </c>
      <c r="J25" s="1"/>
    </row>
    <row r="26" spans="1:10" ht="30" customHeight="1" x14ac:dyDescent="0.25">
      <c r="A26" s="19"/>
      <c r="B26" s="19"/>
      <c r="C26" s="13" t="s">
        <v>41</v>
      </c>
      <c r="D26" s="21" t="s">
        <v>42</v>
      </c>
      <c r="E26" s="15">
        <v>19</v>
      </c>
      <c r="F26" s="16">
        <v>27</v>
      </c>
      <c r="G26" s="17">
        <v>42</v>
      </c>
      <c r="H26" s="18">
        <f>SUM(E26:G26)</f>
        <v>88</v>
      </c>
      <c r="J26" s="1"/>
    </row>
    <row r="27" spans="1:10" ht="30" customHeight="1" x14ac:dyDescent="0.25">
      <c r="A27" s="19"/>
      <c r="B27" s="19"/>
      <c r="C27" s="13" t="s">
        <v>43</v>
      </c>
      <c r="D27" s="21" t="s">
        <v>44</v>
      </c>
      <c r="E27" s="15">
        <v>26</v>
      </c>
      <c r="F27" s="16">
        <v>38</v>
      </c>
      <c r="G27" s="17">
        <v>52</v>
      </c>
      <c r="H27" s="18">
        <f>SUM(E27:G27)</f>
        <v>116</v>
      </c>
      <c r="J27" s="1"/>
    </row>
    <row r="28" spans="1:10" ht="30" customHeight="1" x14ac:dyDescent="0.3">
      <c r="A28" s="8"/>
      <c r="B28" s="8"/>
      <c r="C28" s="9">
        <v>1.5</v>
      </c>
      <c r="D28" s="10" t="s">
        <v>45</v>
      </c>
      <c r="E28" s="11"/>
      <c r="F28" s="11"/>
      <c r="G28" s="11"/>
      <c r="H28" s="18"/>
      <c r="J28" s="1"/>
    </row>
    <row r="29" spans="1:10" ht="30" customHeight="1" x14ac:dyDescent="0.25">
      <c r="A29" s="19"/>
      <c r="B29" s="19"/>
      <c r="C29" s="13" t="s">
        <v>46</v>
      </c>
      <c r="D29" s="22" t="s">
        <v>47</v>
      </c>
      <c r="E29" s="23">
        <v>39</v>
      </c>
      <c r="F29" s="24">
        <v>55</v>
      </c>
      <c r="G29" s="25">
        <v>84</v>
      </c>
      <c r="H29" s="18">
        <f>SUM(E29:G29)</f>
        <v>178</v>
      </c>
      <c r="J29" s="1"/>
    </row>
    <row r="30" spans="1:10" ht="30" customHeight="1" x14ac:dyDescent="0.25">
      <c r="A30" s="19"/>
      <c r="B30" s="19"/>
      <c r="C30" s="13" t="s">
        <v>48</v>
      </c>
      <c r="D30" s="22" t="s">
        <v>49</v>
      </c>
      <c r="E30" s="23">
        <v>65</v>
      </c>
      <c r="F30" s="24">
        <v>99</v>
      </c>
      <c r="G30" s="25">
        <v>146</v>
      </c>
      <c r="H30" s="18">
        <f>SUM(E30:G30)</f>
        <v>310</v>
      </c>
      <c r="J30" s="1"/>
    </row>
    <row r="31" spans="1:10" ht="30" customHeight="1" x14ac:dyDescent="0.3">
      <c r="A31" s="26"/>
      <c r="B31" s="26"/>
      <c r="C31" s="9">
        <v>1.6</v>
      </c>
      <c r="D31" s="10" t="s">
        <v>50</v>
      </c>
      <c r="E31" s="11"/>
      <c r="F31" s="11"/>
      <c r="G31" s="11"/>
      <c r="H31" s="18"/>
      <c r="J31" s="1"/>
    </row>
    <row r="32" spans="1:10" ht="30" customHeight="1" x14ac:dyDescent="0.3">
      <c r="A32" s="12"/>
      <c r="B32" s="12"/>
      <c r="C32" s="27" t="s">
        <v>51</v>
      </c>
      <c r="D32" s="28" t="s">
        <v>52</v>
      </c>
      <c r="E32" s="29">
        <v>52</v>
      </c>
      <c r="F32" s="30">
        <v>77</v>
      </c>
      <c r="G32" s="25">
        <v>125</v>
      </c>
      <c r="H32" s="18">
        <f>SUM(E32:G32)</f>
        <v>254</v>
      </c>
      <c r="J32" s="1"/>
    </row>
    <row r="33" spans="1:10" ht="30" customHeight="1" x14ac:dyDescent="0.25">
      <c r="A33" s="19"/>
      <c r="B33" s="19"/>
      <c r="C33" s="13" t="s">
        <v>53</v>
      </c>
      <c r="D33" s="22" t="s">
        <v>54</v>
      </c>
      <c r="E33" s="23">
        <v>26</v>
      </c>
      <c r="F33" s="24">
        <v>38</v>
      </c>
      <c r="G33" s="25">
        <v>63</v>
      </c>
      <c r="H33" s="18">
        <f>SUM(E33:G33)</f>
        <v>127</v>
      </c>
      <c r="J33" s="1"/>
    </row>
    <row r="34" spans="1:10" ht="30" customHeight="1" x14ac:dyDescent="0.25">
      <c r="A34" s="20"/>
      <c r="B34" s="20"/>
      <c r="C34" s="9">
        <v>1.7</v>
      </c>
      <c r="D34" s="10" t="s">
        <v>55</v>
      </c>
      <c r="E34" s="11"/>
      <c r="F34" s="11"/>
      <c r="G34" s="11"/>
      <c r="H34" s="18"/>
      <c r="J34" s="1"/>
    </row>
    <row r="35" spans="1:10" ht="30" customHeight="1" x14ac:dyDescent="0.25">
      <c r="A35" s="19"/>
      <c r="B35" s="19"/>
      <c r="C35" s="13" t="s">
        <v>56</v>
      </c>
      <c r="D35" s="21" t="s">
        <v>57</v>
      </c>
      <c r="E35" s="23">
        <v>26</v>
      </c>
      <c r="F35" s="24">
        <v>33</v>
      </c>
      <c r="G35" s="25">
        <v>52</v>
      </c>
      <c r="H35" s="18">
        <f>SUM(E35:G35)</f>
        <v>111</v>
      </c>
      <c r="J35" s="46"/>
    </row>
    <row r="36" spans="1:10" ht="30" customHeight="1" x14ac:dyDescent="0.25">
      <c r="A36" s="19"/>
      <c r="B36" s="19"/>
      <c r="C36" s="13" t="s">
        <v>58</v>
      </c>
      <c r="D36" s="21" t="s">
        <v>59</v>
      </c>
      <c r="E36" s="23">
        <v>39</v>
      </c>
      <c r="F36" s="24">
        <v>44</v>
      </c>
      <c r="G36" s="25">
        <v>73</v>
      </c>
      <c r="H36" s="18">
        <f>SUM(E36:G36)</f>
        <v>156</v>
      </c>
    </row>
    <row r="37" spans="1:10" ht="30" customHeight="1" x14ac:dyDescent="0.25">
      <c r="B37" s="19"/>
      <c r="C37" s="13" t="s">
        <v>60</v>
      </c>
      <c r="D37" s="10" t="s">
        <v>61</v>
      </c>
      <c r="E37" s="23"/>
      <c r="F37" s="24"/>
      <c r="G37" s="25"/>
      <c r="H37" s="18"/>
    </row>
    <row r="38" spans="1:10" ht="30" customHeight="1" x14ac:dyDescent="0.25">
      <c r="A38" s="19"/>
      <c r="B38" s="19"/>
      <c r="C38" s="13" t="s">
        <v>62</v>
      </c>
      <c r="D38" s="21" t="s">
        <v>63</v>
      </c>
      <c r="E38" s="23">
        <v>78</v>
      </c>
      <c r="F38" s="24">
        <v>110</v>
      </c>
      <c r="G38" s="25">
        <v>146</v>
      </c>
      <c r="H38" s="18">
        <f>SUM(E38:G38)</f>
        <v>334</v>
      </c>
    </row>
    <row r="39" spans="1:10" ht="30" customHeight="1" x14ac:dyDescent="0.25">
      <c r="B39" s="19"/>
      <c r="C39" s="13" t="s">
        <v>64</v>
      </c>
      <c r="D39" s="21" t="s">
        <v>65</v>
      </c>
      <c r="E39" s="23">
        <v>65</v>
      </c>
      <c r="F39" s="24">
        <v>99</v>
      </c>
      <c r="G39" s="25">
        <v>125</v>
      </c>
      <c r="H39" s="18">
        <f>SUM(E39:G39)</f>
        <v>289</v>
      </c>
    </row>
    <row r="40" spans="1:10" ht="30" customHeight="1" x14ac:dyDescent="0.25">
      <c r="A40" s="19"/>
      <c r="B40" s="19"/>
      <c r="C40" s="13" t="s">
        <v>66</v>
      </c>
      <c r="D40" s="21" t="s">
        <v>67</v>
      </c>
      <c r="E40" s="23">
        <v>39</v>
      </c>
      <c r="F40" s="24">
        <v>55</v>
      </c>
      <c r="G40" s="25">
        <v>84</v>
      </c>
      <c r="H40" s="18">
        <f>SUM(E40:G40)</f>
        <v>178</v>
      </c>
    </row>
    <row r="41" spans="1:10" ht="30" customHeight="1" x14ac:dyDescent="0.25">
      <c r="B41" s="19"/>
      <c r="C41" s="13" t="s">
        <v>68</v>
      </c>
      <c r="D41" s="21" t="s">
        <v>69</v>
      </c>
      <c r="E41" s="23">
        <v>39</v>
      </c>
      <c r="F41" s="24">
        <v>66</v>
      </c>
      <c r="G41" s="25">
        <v>94</v>
      </c>
      <c r="H41" s="18">
        <f>SUM(E41:G41)</f>
        <v>199</v>
      </c>
    </row>
    <row r="42" spans="1:10" ht="30" customHeight="1" x14ac:dyDescent="0.25">
      <c r="A42" s="19"/>
      <c r="B42" s="19"/>
      <c r="C42" s="13" t="s">
        <v>70</v>
      </c>
      <c r="D42" s="21" t="s">
        <v>71</v>
      </c>
      <c r="E42" s="23">
        <v>52</v>
      </c>
      <c r="F42" s="24">
        <v>77</v>
      </c>
      <c r="G42" s="25">
        <v>104</v>
      </c>
      <c r="H42" s="18">
        <f>SUM(E42:G42)</f>
        <v>233</v>
      </c>
    </row>
    <row r="43" spans="1:10" ht="30" customHeight="1" x14ac:dyDescent="0.25">
      <c r="B43" s="19"/>
      <c r="C43" s="13" t="s">
        <v>72</v>
      </c>
      <c r="D43" s="10" t="s">
        <v>73</v>
      </c>
      <c r="E43" s="23"/>
      <c r="F43" s="24"/>
      <c r="G43" s="25"/>
      <c r="H43" s="18"/>
    </row>
    <row r="44" spans="1:10" ht="30" customHeight="1" x14ac:dyDescent="0.25">
      <c r="A44" s="19"/>
      <c r="B44" s="19"/>
      <c r="C44" s="13" t="s">
        <v>74</v>
      </c>
      <c r="D44" s="21" t="s">
        <v>75</v>
      </c>
      <c r="E44" s="23">
        <v>39</v>
      </c>
      <c r="F44" s="24">
        <v>55</v>
      </c>
      <c r="G44" s="25">
        <v>94</v>
      </c>
      <c r="H44" s="18">
        <f>SUM(E44:G44)</f>
        <v>188</v>
      </c>
    </row>
    <row r="45" spans="1:10" ht="30" customHeight="1" x14ac:dyDescent="0.25">
      <c r="B45" s="19"/>
      <c r="C45" s="13" t="s">
        <v>76</v>
      </c>
      <c r="D45" s="21" t="s">
        <v>77</v>
      </c>
      <c r="E45" s="23">
        <v>26</v>
      </c>
      <c r="F45" s="24">
        <v>38</v>
      </c>
      <c r="G45" s="25">
        <v>63</v>
      </c>
      <c r="H45" s="18">
        <f>SUM(E45:G45)</f>
        <v>127</v>
      </c>
    </row>
    <row r="46" spans="1:10" ht="30" customHeight="1" x14ac:dyDescent="0.25">
      <c r="A46" s="19"/>
      <c r="B46" s="19"/>
      <c r="C46" s="13" t="s">
        <v>78</v>
      </c>
      <c r="D46" s="21" t="s">
        <v>79</v>
      </c>
      <c r="E46" s="23">
        <v>78</v>
      </c>
      <c r="F46" s="24">
        <v>110</v>
      </c>
      <c r="G46" s="25">
        <v>146</v>
      </c>
      <c r="H46" s="18">
        <f>SUM(E46:G46)</f>
        <v>334</v>
      </c>
    </row>
    <row r="47" spans="1:10" ht="30" customHeight="1" x14ac:dyDescent="0.25">
      <c r="B47" s="19"/>
      <c r="C47" s="13" t="s">
        <v>80</v>
      </c>
      <c r="D47" s="21" t="s">
        <v>81</v>
      </c>
      <c r="E47" s="23">
        <v>26</v>
      </c>
      <c r="F47" s="24">
        <v>38</v>
      </c>
      <c r="G47" s="25">
        <v>63</v>
      </c>
      <c r="H47" s="18">
        <f>SUM(E47:G47)</f>
        <v>127</v>
      </c>
    </row>
    <row r="48" spans="1:10" ht="30" customHeight="1" x14ac:dyDescent="0.25">
      <c r="A48" s="19"/>
      <c r="B48" s="19"/>
      <c r="C48" s="13" t="s">
        <v>82</v>
      </c>
      <c r="D48" s="10" t="s">
        <v>83</v>
      </c>
      <c r="E48" s="23"/>
      <c r="F48" s="24"/>
      <c r="G48" s="25"/>
      <c r="H48" s="18"/>
    </row>
    <row r="49" spans="1:8" ht="30" customHeight="1" x14ac:dyDescent="0.25">
      <c r="B49" s="19"/>
      <c r="C49" s="13" t="s">
        <v>84</v>
      </c>
      <c r="D49" s="21" t="s">
        <v>85</v>
      </c>
      <c r="E49" s="23">
        <v>45</v>
      </c>
      <c r="F49" s="24">
        <v>66</v>
      </c>
      <c r="G49" s="25">
        <v>94</v>
      </c>
      <c r="H49" s="18">
        <f>SUM(E49:G49)</f>
        <v>205</v>
      </c>
    </row>
    <row r="50" spans="1:8" ht="19.5" customHeight="1" x14ac:dyDescent="0.25">
      <c r="A50" s="19"/>
      <c r="B50" s="19"/>
      <c r="C50" s="13" t="s">
        <v>86</v>
      </c>
      <c r="D50" s="21" t="s">
        <v>87</v>
      </c>
      <c r="E50" s="23">
        <v>32</v>
      </c>
      <c r="F50" s="24">
        <v>49</v>
      </c>
      <c r="G50" s="25">
        <v>73</v>
      </c>
      <c r="H50" s="18">
        <f>SUM(E50:G50)</f>
        <v>154</v>
      </c>
    </row>
    <row r="51" spans="1:8" ht="30" customHeight="1" x14ac:dyDescent="0.25">
      <c r="B51" s="19"/>
      <c r="C51" s="13" t="s">
        <v>88</v>
      </c>
      <c r="D51" s="21" t="s">
        <v>89</v>
      </c>
      <c r="E51" s="23">
        <v>32</v>
      </c>
      <c r="F51" s="24">
        <v>44</v>
      </c>
      <c r="G51" s="25">
        <v>63</v>
      </c>
      <c r="H51" s="18">
        <f>SUM(E51:G51)</f>
        <v>139</v>
      </c>
    </row>
    <row r="52" spans="1:8" ht="30" customHeight="1" x14ac:dyDescent="0.25">
      <c r="A52" s="19"/>
      <c r="B52" s="19"/>
      <c r="C52" s="13" t="s">
        <v>90</v>
      </c>
      <c r="D52" s="10" t="s">
        <v>91</v>
      </c>
      <c r="E52" s="23"/>
      <c r="F52" s="24"/>
      <c r="G52" s="25"/>
      <c r="H52" s="18"/>
    </row>
    <row r="53" spans="1:8" ht="30" customHeight="1" x14ac:dyDescent="0.25">
      <c r="B53" s="19"/>
      <c r="C53" s="13" t="s">
        <v>92</v>
      </c>
      <c r="D53" s="21" t="s">
        <v>93</v>
      </c>
      <c r="E53" s="23">
        <v>26</v>
      </c>
      <c r="F53" s="24">
        <v>44</v>
      </c>
      <c r="G53" s="25">
        <v>73</v>
      </c>
      <c r="H53" s="18">
        <f>SUM(E53:G53)</f>
        <v>143</v>
      </c>
    </row>
    <row r="54" spans="1:8" ht="30" customHeight="1" x14ac:dyDescent="0.25">
      <c r="A54" s="19"/>
      <c r="B54" s="19"/>
      <c r="C54" s="13" t="s">
        <v>94</v>
      </c>
      <c r="D54" s="21" t="s">
        <v>95</v>
      </c>
      <c r="E54" s="23">
        <v>129</v>
      </c>
      <c r="F54" s="24">
        <v>219</v>
      </c>
      <c r="G54" s="25">
        <v>313</v>
      </c>
      <c r="H54" s="18">
        <f>SUM(E54:G54)</f>
        <v>661</v>
      </c>
    </row>
    <row r="55" spans="1:8" ht="30" customHeight="1" x14ac:dyDescent="0.25">
      <c r="B55" s="19"/>
      <c r="C55" s="13" t="s">
        <v>96</v>
      </c>
      <c r="D55" s="21" t="s">
        <v>97</v>
      </c>
      <c r="E55" s="23">
        <v>97</v>
      </c>
      <c r="F55" s="24">
        <v>164</v>
      </c>
      <c r="G55" s="25">
        <v>261</v>
      </c>
      <c r="H55" s="18">
        <f>SUM(E55:G55)</f>
        <v>522</v>
      </c>
    </row>
    <row r="56" spans="1:8" ht="19.5" customHeight="1" x14ac:dyDescent="0.3">
      <c r="A56" s="12"/>
      <c r="B56" s="12"/>
      <c r="C56" s="31"/>
      <c r="D56" s="21"/>
      <c r="E56" s="23"/>
      <c r="F56" s="24"/>
      <c r="G56" s="25"/>
    </row>
    <row r="57" spans="1:8" ht="30" customHeight="1" x14ac:dyDescent="0.3">
      <c r="A57" s="12"/>
      <c r="B57" s="12"/>
      <c r="C57" s="32"/>
      <c r="D57" s="22"/>
      <c r="E57" s="33"/>
      <c r="F57" s="34"/>
      <c r="G57" s="35"/>
    </row>
    <row r="58" spans="1:8" ht="30" customHeight="1" x14ac:dyDescent="0.3">
      <c r="A58" s="36" t="s">
        <v>98</v>
      </c>
      <c r="B58" s="12"/>
      <c r="C58" s="32"/>
      <c r="D58" s="34"/>
      <c r="E58" s="18">
        <f>SUM(E11:E56)</f>
        <v>1413</v>
      </c>
      <c r="F58" s="18">
        <f>SUM(F11:F56)</f>
        <v>2117</v>
      </c>
      <c r="G58" s="18">
        <f>SUM(G11:G56)</f>
        <v>3165</v>
      </c>
      <c r="H58" s="18">
        <f>SUM(H11:H56)</f>
        <v>6695</v>
      </c>
    </row>
    <row r="59" spans="1:8" ht="30" customHeight="1" x14ac:dyDescent="0.25">
      <c r="B59" s="1"/>
    </row>
    <row r="60" spans="1:8" ht="30" customHeight="1" x14ac:dyDescent="0.25">
      <c r="B60" s="1"/>
    </row>
    <row r="61" spans="1:8" ht="30" customHeight="1" x14ac:dyDescent="0.25">
      <c r="B61" s="1"/>
    </row>
    <row r="62" spans="1:8" ht="19.5" customHeight="1" x14ac:dyDescent="0.25">
      <c r="B62" s="1"/>
    </row>
    <row r="63" spans="1:8" ht="30" customHeight="1" x14ac:dyDescent="0.25">
      <c r="B63" s="1"/>
    </row>
    <row r="64" spans="1:8" ht="30" customHeight="1" x14ac:dyDescent="0.25">
      <c r="B64" s="1"/>
    </row>
    <row r="65" spans="2:2" ht="30" customHeight="1" x14ac:dyDescent="0.25">
      <c r="B65" s="1"/>
    </row>
    <row r="66" spans="2:2" ht="30" customHeight="1" x14ac:dyDescent="0.25">
      <c r="B66" s="1"/>
    </row>
    <row r="67" spans="2:2" ht="19.5" customHeight="1" x14ac:dyDescent="0.25">
      <c r="B67" s="1"/>
    </row>
    <row r="68" spans="2:2" ht="30" customHeight="1" x14ac:dyDescent="0.25">
      <c r="B68" s="1"/>
    </row>
    <row r="69" spans="2:2" ht="30" customHeight="1" x14ac:dyDescent="0.25">
      <c r="B69" s="1"/>
    </row>
    <row r="70" spans="2:2" ht="30" customHeight="1" x14ac:dyDescent="0.25">
      <c r="B70" s="1"/>
    </row>
    <row r="71" spans="2:2" ht="30" customHeight="1" x14ac:dyDescent="0.25">
      <c r="B71" s="1"/>
    </row>
    <row r="72" spans="2:2" ht="30" customHeight="1" x14ac:dyDescent="0.25">
      <c r="B72" s="1"/>
    </row>
    <row r="73" spans="2:2" ht="19.5" customHeight="1" x14ac:dyDescent="0.25">
      <c r="B73" s="1"/>
    </row>
    <row r="74" spans="2:2" ht="30" customHeight="1" x14ac:dyDescent="0.25">
      <c r="B74" s="1"/>
    </row>
    <row r="75" spans="2:2" ht="30" customHeight="1" x14ac:dyDescent="0.25">
      <c r="B75" s="1"/>
    </row>
    <row r="76" spans="2:2" ht="30" customHeight="1" x14ac:dyDescent="0.25">
      <c r="B76" s="1"/>
    </row>
    <row r="77" spans="2:2" ht="30" customHeight="1" x14ac:dyDescent="0.25">
      <c r="B77" s="1"/>
    </row>
    <row r="78" spans="2:2" ht="30" customHeight="1" x14ac:dyDescent="0.25">
      <c r="B78" s="1"/>
    </row>
    <row r="79" spans="2:2" ht="30" customHeight="1" x14ac:dyDescent="0.25">
      <c r="B79" s="1"/>
    </row>
    <row r="80" spans="2:2" ht="19.5" customHeight="1" x14ac:dyDescent="0.25">
      <c r="B80" s="1"/>
    </row>
    <row r="81" spans="1:10" ht="30" customHeight="1" x14ac:dyDescent="0.25">
      <c r="B81" s="1"/>
    </row>
    <row r="82" spans="1:10" ht="30" customHeight="1" x14ac:dyDescent="0.25">
      <c r="B82" s="1"/>
    </row>
    <row r="83" spans="1:10" ht="30" customHeight="1" x14ac:dyDescent="0.25">
      <c r="B83" s="1"/>
    </row>
    <row r="84" spans="1:10" ht="30" customHeight="1" x14ac:dyDescent="0.25">
      <c r="B84" s="1"/>
    </row>
    <row r="85" spans="1:10" ht="30" customHeight="1" x14ac:dyDescent="0.25"/>
    <row r="86" spans="1:10" ht="30" customHeight="1" x14ac:dyDescent="0.25">
      <c r="J86" s="1"/>
    </row>
    <row r="87" spans="1:10" ht="30" customHeight="1" x14ac:dyDescent="0.25">
      <c r="J87" s="1"/>
    </row>
    <row r="88" spans="1:10" ht="15" customHeight="1" x14ac:dyDescent="0.25">
      <c r="J88" s="1"/>
    </row>
    <row r="89" spans="1:10" ht="15" customHeight="1" x14ac:dyDescent="0.25">
      <c r="A89" s="1"/>
      <c r="B89" s="1"/>
      <c r="C89" s="1"/>
      <c r="D89" s="1"/>
      <c r="E89" s="1"/>
      <c r="F89" s="1"/>
      <c r="G89" s="1"/>
      <c r="J89" s="1"/>
    </row>
    <row r="90" spans="1:10" ht="15" customHeight="1" x14ac:dyDescent="0.25">
      <c r="A90" s="1"/>
      <c r="B90" s="1"/>
      <c r="C90" s="1"/>
      <c r="D90" s="1"/>
      <c r="E90" s="1"/>
      <c r="F90" s="1"/>
      <c r="G90" s="1"/>
      <c r="J90" s="1"/>
    </row>
    <row r="91" spans="1:10" ht="15" customHeight="1" x14ac:dyDescent="0.25">
      <c r="A91" s="1"/>
      <c r="B91" s="1"/>
      <c r="C91" s="1"/>
      <c r="D91" s="1"/>
      <c r="E91" s="1"/>
      <c r="F91" s="1"/>
      <c r="G91" s="1"/>
      <c r="J91" s="1"/>
    </row>
  </sheetData>
  <mergeCells count="6">
    <mergeCell ref="A1:C6"/>
    <mergeCell ref="D7:E7"/>
    <mergeCell ref="D6:E6"/>
    <mergeCell ref="D5:E5"/>
    <mergeCell ref="D3:E3"/>
    <mergeCell ref="D4:E4"/>
  </mergeCells>
  <pageMargins left="0.7" right="0.7" top="0.75" bottom="0.75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Table 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Агамет Агаметов</dc:creator>
  <dc:description/>
  <cp:lastModifiedBy>warrior</cp:lastModifiedBy>
  <cp:revision>0</cp:revision>
  <dcterms:created xsi:type="dcterms:W3CDTF">2026-05-02T09:18:34Z</dcterms:created>
  <dcterms:modified xsi:type="dcterms:W3CDTF">2026-05-30T05:15:24Z</dcterms:modified>
  <dc:language>en-US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verter">
    <vt:lpwstr>SolidFramework v10.0.19910.1</vt:lpwstr>
  </property>
  <property fmtid="{D5CDD505-2E9C-101B-9397-08002B2CF9AE}" pid="3" name="Created">
    <vt:filetime>2026-05-02T00:00:00Z</vt:filetime>
  </property>
  <property fmtid="{D5CDD505-2E9C-101B-9397-08002B2CF9AE}" pid="4" name="LastSaved">
    <vt:filetime>2026-05-02T00:00:00Z</vt:filetime>
  </property>
  <property fmtid="{D5CDD505-2E9C-101B-9397-08002B2CF9AE}" pid="5" name="Producer">
    <vt:lpwstr>iLovePDF</vt:lpwstr>
  </property>
</Properties>
</file>
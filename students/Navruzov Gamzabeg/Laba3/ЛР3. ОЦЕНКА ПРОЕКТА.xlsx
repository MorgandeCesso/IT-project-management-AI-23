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rrior\Desktop\"/>
    </mc:Choice>
  </mc:AlternateContent>
  <xr:revisionPtr revIDLastSave="0" documentId="13_ncr:1_{C6865CAE-313C-4B17-AE09-3C2CB9286A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2" l="1"/>
  <c r="F2" i="2" s="1"/>
  <c r="F57" i="2"/>
  <c r="G57" i="2"/>
  <c r="H56" i="2" l="1"/>
  <c r="G6" i="2" s="1"/>
  <c r="G2" i="2"/>
  <c r="G3" i="2" s="1"/>
  <c r="G4" i="2" s="1"/>
  <c r="F3" i="2"/>
  <c r="F4" i="2" s="1"/>
  <c r="F6" i="2" l="1"/>
</calcChain>
</file>

<file path=xl/sharedStrings.xml><?xml version="1.0" encoding="utf-8"?>
<sst xmlns="http://schemas.openxmlformats.org/spreadsheetml/2006/main" count="105" uniqueCount="105">
  <si>
    <t xml:space="preserve"> </t>
  </si>
  <si>
    <t>Тестирование</t>
  </si>
  <si>
    <t>1,3</t>
  </si>
  <si>
    <t>1</t>
  </si>
  <si>
    <t>2</t>
  </si>
  <si>
    <t>Интеграционное тестирование</t>
  </si>
  <si>
    <t>Регрессионное тестирование</t>
  </si>
  <si>
    <t>Оптимальная длительность проекта (месяцы)</t>
  </si>
  <si>
    <t>Range start</t>
  </si>
  <si>
    <t>Range finish</t>
  </si>
  <si>
    <t>Человеко дни</t>
  </si>
  <si>
    <t>Человеко месяцы</t>
  </si>
  <si>
    <t>Стоимость нормочаса, руб.</t>
  </si>
  <si>
    <t>Стоимость проекта, руб.</t>
  </si>
  <si>
    <t>пункт ТЗ</t>
  </si>
  <si>
    <t>Разработка ПО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</si>
  <si>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</si>
  <si>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</si>
  <si>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</si>
  <si>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</si>
  <si>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</si>
  <si>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</si>
  <si>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</si>
  <si>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</si>
  <si>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1.3.1</t>
  </si>
  <si>
    <t>1.3.2</t>
  </si>
  <si>
    <r>
      <t>1.3.3</t>
    </r>
    <r>
      <rPr>
        <sz val="11"/>
        <color theme="1"/>
        <rFont val="Calibri"/>
        <family val="2"/>
        <charset val="204"/>
        <scheme val="minor"/>
      </rPr>
      <t/>
    </r>
  </si>
  <si>
    <t>1.4.1</t>
  </si>
  <si>
    <r>
      <t>1.4.2</t>
    </r>
    <r>
      <rPr>
        <sz val="11"/>
        <color theme="1"/>
        <rFont val="Calibri"/>
        <family val="2"/>
        <charset val="204"/>
        <scheme val="minor"/>
      </rPr>
      <t/>
    </r>
  </si>
  <si>
    <r>
      <t>1.4.3</t>
    </r>
    <r>
      <rPr>
        <sz val="11"/>
        <color theme="1"/>
        <rFont val="Calibri"/>
        <family val="2"/>
        <charset val="204"/>
        <scheme val="minor"/>
      </rPr>
      <t/>
    </r>
  </si>
  <si>
    <t>1.5.1</t>
  </si>
  <si>
    <t>1.6.1</t>
  </si>
  <si>
    <t>1.6.2</t>
  </si>
  <si>
    <t>1.7.1</t>
  </si>
  <si>
    <t>Разработка документации</t>
  </si>
  <si>
    <t>Итог</t>
  </si>
  <si>
    <r>
      <rPr>
        <b/>
        <sz val="12"/>
        <rFont val="Times New Roman"/>
        <family val="1"/>
        <charset val="204"/>
      </rPr>
      <t>Требует
уточнения</t>
    </r>
  </si>
  <si>
    <r>
      <rPr>
        <b/>
        <sz val="12"/>
        <color rgb="FFFFFFFF"/>
        <rFont val="Times New Roman"/>
        <family val="1"/>
        <charset val="204"/>
      </rPr>
      <t>#ПП</t>
    </r>
  </si>
  <si>
    <r>
      <rPr>
        <b/>
        <sz val="12"/>
        <color rgb="FFFFFFFF"/>
        <rFont val="Times New Roman"/>
        <family val="1"/>
        <charset val="204"/>
      </rPr>
      <t>Работы</t>
    </r>
  </si>
  <si>
    <r>
      <rPr>
        <b/>
        <sz val="12"/>
        <color rgb="FFFFFFFF"/>
        <rFont val="Times New Roman"/>
        <family val="1"/>
        <charset val="204"/>
      </rPr>
      <t>Реалист</t>
    </r>
  </si>
  <si>
    <r>
      <rPr>
        <b/>
        <sz val="12"/>
        <color rgb="FFFFFFFF"/>
        <rFont val="Times New Roman"/>
        <family val="1"/>
        <charset val="204"/>
      </rPr>
      <t>Пессимист</t>
    </r>
  </si>
  <si>
    <t>Модульное тестирование</t>
  </si>
  <si>
    <t>1.7.2</t>
  </si>
  <si>
    <t>Ожидаемая оценка</t>
  </si>
  <si>
    <t>Оптимист</t>
  </si>
  <si>
    <t>Каталог товаров + Фильтрация и сортировка</t>
  </si>
  <si>
    <t>Реализация просмотра каталога с выбором категории</t>
  </si>
  <si>
    <t>Отображение карточек товаров (изображения, цена, описание)</t>
  </si>
  <si>
    <t>Фильтрация по цене, бренду, характеристикам (с обновлением)</t>
  </si>
  <si>
    <t>Сохранение фильтров и пагинация</t>
  </si>
  <si>
    <t>Сортировка товаров</t>
  </si>
  <si>
    <t>Карточка товара</t>
  </si>
  <si>
    <t>Галерея изображений + зум</t>
  </si>
  <si>
    <t>Характеристики + отзывы</t>
  </si>
  <si>
    <t>Добавление отзывов</t>
  </si>
  <si>
    <t>Корзина</t>
  </si>
  <si>
    <t>Добавление в корзину + уведомления</t>
  </si>
  <si>
    <t>Изменение количества + пересчёт суммы</t>
  </si>
  <si>
    <t>Удаление + перемещение в избранное</t>
  </si>
  <si>
    <t>Авторизация и Личный кабинет</t>
  </si>
  <si>
    <t>Регистрация + подтверждение email</t>
  </si>
  <si>
    <t>Авторизация + сессия</t>
  </si>
  <si>
    <t>Восстановление пароля</t>
  </si>
  <si>
    <t>Оформление заказа + Оплата</t>
  </si>
  <si>
    <t>Форма оформления заказа + валидация</t>
  </si>
  <si>
    <t>1.5.2</t>
  </si>
  <si>
    <t>Интеграция с платежной системой</t>
  </si>
  <si>
    <t>Админ-панель</t>
  </si>
  <si>
    <t>CRUD товаров (добавление, редактирование, удаление)</t>
  </si>
  <si>
    <t>Загрузка и оптимизация изображений</t>
  </si>
  <si>
    <t>Нефункциональные требования, безопасность, DevOps</t>
  </si>
  <si>
    <t>Адаптивность + поддержка Chrome/Firefox</t>
  </si>
  <si>
    <t>CI/CD + Docker</t>
  </si>
  <si>
    <t>3</t>
  </si>
  <si>
    <t>4</t>
  </si>
  <si>
    <t>5</t>
  </si>
  <si>
    <t>2.1</t>
  </si>
  <si>
    <t>2.2</t>
  </si>
  <si>
    <t>2.3</t>
  </si>
  <si>
    <t>2.4</t>
  </si>
  <si>
    <t>2.5</t>
  </si>
  <si>
    <t>Тестирование пользовательского интерфейса (UI/UX)</t>
  </si>
  <si>
    <t>Нагрузочное и производительности</t>
  </si>
  <si>
    <t>3.1</t>
  </si>
  <si>
    <t>Внутренняя документация (архитектура, API)</t>
  </si>
  <si>
    <t>3.2</t>
  </si>
  <si>
    <t>3.3</t>
  </si>
  <si>
    <t>3.4</t>
  </si>
  <si>
    <t>Руководство пользователя</t>
  </si>
  <si>
    <t>Технический проект / Спецификация</t>
  </si>
  <si>
    <t>Регламент использования / Админ-руководство</t>
  </si>
  <si>
    <t>5.1</t>
  </si>
  <si>
    <t>5.2</t>
  </si>
  <si>
    <t>5.3</t>
  </si>
  <si>
    <t>Разработка Docker-контейнеров и скриптов развертывания</t>
  </si>
  <si>
    <t>Установка и настройка на сервере заказчика</t>
  </si>
  <si>
    <t xml:space="preserve">Гарантийное сопровождение </t>
  </si>
  <si>
    <t>4.1</t>
  </si>
  <si>
    <t>4.2</t>
  </si>
  <si>
    <t>4.3</t>
  </si>
  <si>
    <t>Формирование команды</t>
  </si>
  <si>
    <t>Управление проектом (планирование, контроль)</t>
  </si>
  <si>
    <t>Совещания, планёрки, ретроспективы, отчётность</t>
  </si>
  <si>
    <t>Внедрение</t>
  </si>
  <si>
    <t>Менеджмент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</si>
</sst>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</font>
    <font>
      <sz val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FFFCC"/>
      </patternFill>
    </fill>
    <fill>
      <patternFill patternType="solid">
        <fgColor rgb="FF6FAC46"/>
      </patternFill>
    </fill>
    <fill>
      <patternFill patternType="solid">
        <fgColor rgb="FFBCD6ED"/>
      </patternFill>
    </fill>
    <fill>
      <patternFill patternType="solid">
        <fgColor rgb="FFDDEBF7"/>
      </patternFill>
    </fill>
  </fills>
  <borders count="13">
    <border>
      <left/>
      <right/>
      <top/>
      <bottom/>
      <diagonal/>
    </border>
    <border>
      <left/>
      <right/>
      <top/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/>
      <right style="thin">
        <color rgb="FF000000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/>
      <top style="thin">
        <color rgb="FF6FAC46"/>
      </top>
      <bottom style="thin">
        <color rgb="FF6FAC46"/>
      </bottom>
      <diagonal/>
    </border>
    <border>
      <left style="thin">
        <color rgb="FFB1B1B1"/>
      </left>
      <right/>
      <top style="thin">
        <color rgb="FF6FAC46"/>
      </top>
      <bottom/>
      <diagonal/>
    </border>
    <border>
      <left/>
      <right style="thin">
        <color rgb="FF000000"/>
      </right>
      <top style="thin">
        <color rgb="FF6FAC46"/>
      </top>
      <bottom/>
      <diagonal/>
    </border>
    <border>
      <left/>
      <right/>
      <top style="thin">
        <color rgb="FF6FAC46"/>
      </top>
      <bottom/>
      <diagonal/>
    </border>
    <border>
      <left style="thin">
        <color rgb="FF000000"/>
      </left>
      <right/>
      <top style="thin">
        <color rgb="FF6FAC46"/>
      </top>
      <bottom/>
      <diagonal/>
    </border>
    <border>
      <left style="thin">
        <color rgb="FFB1B1B1"/>
      </left>
      <right style="thin">
        <color rgb="FFB1B1B1"/>
      </right>
      <top style="thin">
        <color rgb="FF6FAC46"/>
      </top>
      <bottom style="thin">
        <color rgb="FFB1B1B1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 applyAlignment="1">
      <alignment horizontal="left" vertical="top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vertical="top"/>
    </xf>
    <xf numFmtId="2" fontId="5" fillId="2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shrinkToFit="1"/>
    </xf>
    <xf numFmtId="2" fontId="5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wrapText="1"/>
    </xf>
    <xf numFmtId="49" fontId="8" fillId="5" borderId="3" xfId="0" applyNumberFormat="1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6" borderId="2" xfId="0" applyFont="1" applyFill="1" applyBorder="1" applyAlignment="1">
      <alignment horizontal="left" wrapText="1"/>
    </xf>
    <xf numFmtId="49" fontId="4" fillId="6" borderId="3" xfId="0" applyNumberFormat="1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shrinkToFit="1"/>
    </xf>
    <xf numFmtId="1" fontId="4" fillId="0" borderId="4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left" wrapText="1"/>
    </xf>
    <xf numFmtId="49" fontId="5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shrinkToFit="1"/>
    </xf>
    <xf numFmtId="1" fontId="4" fillId="0" borderId="10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center" vertical="center" shrinkToFit="1"/>
    </xf>
    <xf numFmtId="0" fontId="5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7" fillId="4" borderId="4" xfId="0" applyFont="1" applyFill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shrinkToFit="1"/>
    </xf>
    <xf numFmtId="1" fontId="9" fillId="0" borderId="4" xfId="0" applyNumberFormat="1" applyFont="1" applyBorder="1" applyAlignment="1">
      <alignment horizontal="center" vertical="center" shrinkToFit="1"/>
    </xf>
    <xf numFmtId="1" fontId="9" fillId="0" borderId="5" xfId="0" applyNumberFormat="1" applyFont="1" applyBorder="1" applyAlignment="1">
      <alignment horizontal="center" vertical="center" shrinkToFi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</cellXfs>
  <cellStyles count="2">
    <cellStyle name="Обычный" xfId="0" builtinId="0"/>
    <cellStyle name="Обычный 2" xfId="1" xr:uid="{3914B554-0CD0-48D5-B962-EE980D185C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tabSelected="1" topLeftCell="A38" zoomScale="55" zoomScaleNormal="55" workbookViewId="0">
      <selection activeCell="P53" sqref="P53"/>
    </sheetView>
  </sheetViews>
  <sheetFormatPr defaultRowHeight="13.2" x14ac:dyDescent="0.25"/>
  <cols>
    <col min="1" max="1" width="14" customWidth="1"/>
    <col min="2" max="2" width="8.6640625" customWidth="1"/>
    <col min="3" max="3" width="8" customWidth="1"/>
    <col min="4" max="4" width="84.6640625" customWidth="1"/>
    <col min="5" max="5" width="16.44140625" customWidth="1"/>
    <col min="6" max="6" width="16" customWidth="1"/>
    <col min="7" max="7" width="16.21875" customWidth="1"/>
    <col min="8" max="9" width="15.6640625" customWidth="1"/>
  </cols>
  <sheetData>
    <row r="1" spans="1:10" ht="30.45" customHeight="1" x14ac:dyDescent="0.3">
      <c r="A1" s="51"/>
      <c r="B1" s="51"/>
      <c r="C1" s="51"/>
      <c r="D1" s="1"/>
      <c r="E1" s="1"/>
      <c r="F1" s="42" t="s">
        <v>8</v>
      </c>
      <c r="G1" s="42" t="s">
        <v>9</v>
      </c>
      <c r="H1" s="2"/>
      <c r="I1" s="2"/>
      <c r="J1" s="2"/>
    </row>
    <row r="2" spans="1:10" ht="30.45" customHeight="1" x14ac:dyDescent="0.25">
      <c r="A2" s="51"/>
      <c r="B2" s="51"/>
      <c r="C2" s="51"/>
      <c r="D2" s="43"/>
      <c r="E2" s="41" t="s">
        <v>10</v>
      </c>
      <c r="F2" s="3">
        <f>E57/8</f>
        <v>15.25</v>
      </c>
      <c r="G2" s="3">
        <f>E57/8</f>
        <v>15.25</v>
      </c>
      <c r="H2" s="2"/>
      <c r="I2" s="2"/>
      <c r="J2" s="2"/>
    </row>
    <row r="3" spans="1:10" ht="30.45" customHeight="1" x14ac:dyDescent="0.25">
      <c r="A3" s="51"/>
      <c r="B3" s="51"/>
      <c r="C3" s="51"/>
      <c r="D3" s="53" t="s">
        <v>11</v>
      </c>
      <c r="E3" s="53"/>
      <c r="F3" s="3">
        <f>F2/22</f>
        <v>0.69318181818181823</v>
      </c>
      <c r="G3" s="3">
        <f>G2/22</f>
        <v>0.69318181818181823</v>
      </c>
      <c r="H3" s="2"/>
      <c r="I3" s="2"/>
      <c r="J3" s="2"/>
    </row>
    <row r="4" spans="1:10" ht="30.45" customHeight="1" x14ac:dyDescent="0.25">
      <c r="A4" s="51"/>
      <c r="B4" s="51"/>
      <c r="C4" s="51"/>
      <c r="D4" s="53" t="s">
        <v>7</v>
      </c>
      <c r="E4" s="53"/>
      <c r="F4" s="3">
        <f>F3/4</f>
        <v>0.17329545454545456</v>
      </c>
      <c r="G4" s="3">
        <f>G3/4</f>
        <v>0.17329545454545456</v>
      </c>
      <c r="H4" s="2"/>
      <c r="I4" s="2"/>
      <c r="J4" s="2"/>
    </row>
    <row r="5" spans="1:10" ht="27.45" customHeight="1" x14ac:dyDescent="0.25">
      <c r="A5" s="51"/>
      <c r="B5" s="51"/>
      <c r="C5" s="51"/>
      <c r="D5" s="53" t="s">
        <v>12</v>
      </c>
      <c r="E5" s="53"/>
      <c r="F5" s="4">
        <v>300</v>
      </c>
      <c r="G5" s="4">
        <v>350</v>
      </c>
      <c r="H5" s="2"/>
      <c r="I5" s="2"/>
      <c r="J5" s="2"/>
    </row>
    <row r="6" spans="1:10" ht="30.45" customHeight="1" x14ac:dyDescent="0.25">
      <c r="A6" s="52"/>
      <c r="B6" s="52"/>
      <c r="C6" s="52"/>
      <c r="D6" s="54" t="s">
        <v>13</v>
      </c>
      <c r="E6" s="54"/>
      <c r="F6" s="5">
        <f>F5*H56</f>
        <v>188100</v>
      </c>
      <c r="G6" s="5">
        <f>G5*H56</f>
        <v>219450</v>
      </c>
      <c r="H6" s="2"/>
      <c r="I6" s="2"/>
      <c r="J6" s="2"/>
    </row>
    <row r="7" spans="1:10" ht="45" customHeight="1" x14ac:dyDescent="0.25">
      <c r="A7" s="6" t="s">
        <v>36</v>
      </c>
      <c r="B7" s="7" t="s">
        <v>14</v>
      </c>
      <c r="C7" s="8" t="s">
        <v>37</v>
      </c>
      <c r="D7" s="9" t="s">
        <v>38</v>
      </c>
      <c r="E7" s="44" t="s">
        <v>44</v>
      </c>
      <c r="F7" s="9" t="s">
        <v>39</v>
      </c>
      <c r="G7" s="10" t="s">
        <v>40</v>
      </c>
      <c r="H7" s="14"/>
      <c r="J7" s="2"/>
    </row>
    <row r="8" spans="1:10" ht="30" customHeight="1" x14ac:dyDescent="0.3">
      <c r="A8" s="11"/>
      <c r="B8" s="11"/>
      <c r="C8" s="12" t="s">
        <v>3</v>
      </c>
      <c r="D8" s="13" t="s">
        <v>15</v>
      </c>
      <c r="E8" s="48"/>
      <c r="F8" s="49"/>
      <c r="G8" s="50"/>
      <c r="H8" s="2"/>
      <c r="I8" s="2"/>
      <c r="J8" s="2"/>
    </row>
    <row r="9" spans="1:10" ht="30" customHeight="1" x14ac:dyDescent="0.3">
      <c r="A9" s="15"/>
      <c r="B9" s="15"/>
      <c r="C9" s="16">
        <v>1.1000000000000001</v>
      </c>
      <c r="D9" s="17" t="s">
        <v>45</v>
      </c>
      <c r="E9" s="18"/>
      <c r="F9" s="18"/>
      <c r="G9" s="18"/>
      <c r="H9" s="2"/>
      <c r="I9" s="2"/>
      <c r="J9" s="2"/>
    </row>
    <row r="10" spans="1:10" ht="30" customHeight="1" x14ac:dyDescent="0.3">
      <c r="A10" s="19"/>
      <c r="B10" s="19"/>
      <c r="C10" s="20" t="s">
        <v>16</v>
      </c>
      <c r="D10" s="21" t="s">
        <v>46</v>
      </c>
      <c r="E10" s="45">
        <v>2</v>
      </c>
      <c r="F10" s="46">
        <v>3</v>
      </c>
      <c r="G10" s="47">
        <v>5</v>
      </c>
      <c r="H10" s="2"/>
      <c r="I10" s="2"/>
      <c r="J10" s="2"/>
    </row>
    <row r="11" spans="1:10" ht="30" customHeight="1" x14ac:dyDescent="0.25">
      <c r="A11" s="25"/>
      <c r="B11" s="25"/>
      <c r="C11" s="20" t="s">
        <v>17</v>
      </c>
      <c r="D11" s="21" t="s">
        <v>47</v>
      </c>
      <c r="E11" s="45">
        <v>3</v>
      </c>
      <c r="F11" s="46">
        <v>4</v>
      </c>
      <c r="G11" s="47">
        <v>7</v>
      </c>
      <c r="H11" s="2"/>
      <c r="I11" s="2"/>
      <c r="J11" s="2"/>
    </row>
    <row r="12" spans="1:10" ht="30" customHeight="1" x14ac:dyDescent="0.25">
      <c r="A12" s="25"/>
      <c r="B12" s="25"/>
      <c r="C12" s="20" t="s">
        <v>18</v>
      </c>
      <c r="D12" s="21" t="s">
        <v>48</v>
      </c>
      <c r="E12" s="45">
        <v>4</v>
      </c>
      <c r="F12" s="46">
        <v>7</v>
      </c>
      <c r="G12" s="47">
        <v>11</v>
      </c>
      <c r="J12" s="2"/>
    </row>
    <row r="13" spans="1:10" ht="30" customHeight="1" x14ac:dyDescent="0.25">
      <c r="A13" s="25"/>
      <c r="B13" s="25"/>
      <c r="C13" s="20" t="s">
        <v>19</v>
      </c>
      <c r="D13" s="21" t="s">
        <v>49</v>
      </c>
      <c r="E13" s="45">
        <v>2</v>
      </c>
      <c r="F13" s="46">
        <v>3</v>
      </c>
      <c r="G13" s="47">
        <v>5</v>
      </c>
      <c r="J13" s="2"/>
    </row>
    <row r="14" spans="1:10" ht="30" customHeight="1" x14ac:dyDescent="0.25">
      <c r="A14" s="25"/>
      <c r="B14" s="25"/>
      <c r="C14" s="20" t="s">
        <v>20</v>
      </c>
      <c r="D14" s="21" t="s">
        <v>50</v>
      </c>
      <c r="E14" s="45">
        <v>1</v>
      </c>
      <c r="F14" s="46">
        <v>2</v>
      </c>
      <c r="G14" s="47">
        <v>4</v>
      </c>
      <c r="J14" s="2"/>
    </row>
    <row r="15" spans="1:10" ht="30" customHeight="1" x14ac:dyDescent="0.25">
      <c r="A15" s="26" t="s">
        <v>0</v>
      </c>
      <c r="B15" s="26"/>
      <c r="C15" s="16">
        <v>1.2</v>
      </c>
      <c r="D15" s="17" t="s">
        <v>51</v>
      </c>
      <c r="E15" s="18"/>
      <c r="F15" s="18"/>
      <c r="G15" s="18"/>
      <c r="J15" s="2"/>
    </row>
    <row r="16" spans="1:10" ht="30" customHeight="1" x14ac:dyDescent="0.25">
      <c r="A16" s="25"/>
      <c r="B16" s="25"/>
      <c r="C16" s="20" t="s">
        <v>21</v>
      </c>
      <c r="D16" s="27" t="s">
        <v>52</v>
      </c>
      <c r="E16" s="45">
        <v>2</v>
      </c>
      <c r="F16" s="46">
        <v>4</v>
      </c>
      <c r="G16" s="47">
        <v>6</v>
      </c>
      <c r="J16" s="2"/>
    </row>
    <row r="17" spans="1:10" ht="30" customHeight="1" x14ac:dyDescent="0.25">
      <c r="A17" s="25"/>
      <c r="B17" s="25"/>
      <c r="C17" s="20" t="s">
        <v>22</v>
      </c>
      <c r="D17" s="27" t="s">
        <v>53</v>
      </c>
      <c r="E17" s="45">
        <v>2</v>
      </c>
      <c r="F17" s="46">
        <v>3</v>
      </c>
      <c r="G17" s="47">
        <v>5</v>
      </c>
      <c r="J17" s="2"/>
    </row>
    <row r="18" spans="1:10" ht="30" customHeight="1" x14ac:dyDescent="0.25">
      <c r="A18" s="25"/>
      <c r="B18" s="25"/>
      <c r="C18" s="20" t="s">
        <v>23</v>
      </c>
      <c r="D18" s="27" t="s">
        <v>54</v>
      </c>
      <c r="E18" s="45">
        <v>2</v>
      </c>
      <c r="F18" s="46">
        <v>4</v>
      </c>
      <c r="G18" s="47">
        <v>6</v>
      </c>
      <c r="J18" s="2"/>
    </row>
    <row r="19" spans="1:10" ht="30" customHeight="1" x14ac:dyDescent="0.3">
      <c r="A19" s="15"/>
      <c r="B19" s="15"/>
      <c r="C19" s="16" t="s">
        <v>2</v>
      </c>
      <c r="D19" s="17" t="s">
        <v>55</v>
      </c>
      <c r="E19" s="18"/>
      <c r="F19" s="18"/>
      <c r="G19" s="18"/>
      <c r="J19" s="2"/>
    </row>
    <row r="20" spans="1:10" ht="30" customHeight="1" x14ac:dyDescent="0.3">
      <c r="A20" s="19"/>
      <c r="B20" s="19"/>
      <c r="C20" s="20" t="s">
        <v>24</v>
      </c>
      <c r="D20" s="27" t="s">
        <v>56</v>
      </c>
      <c r="E20" s="45">
        <v>2</v>
      </c>
      <c r="F20" s="46">
        <v>3</v>
      </c>
      <c r="G20" s="47">
        <v>5</v>
      </c>
      <c r="J20" s="2"/>
    </row>
    <row r="21" spans="1:10" ht="30" customHeight="1" x14ac:dyDescent="0.25">
      <c r="A21" s="25"/>
      <c r="B21" s="25"/>
      <c r="C21" s="20" t="s">
        <v>25</v>
      </c>
      <c r="D21" s="27" t="s">
        <v>57</v>
      </c>
      <c r="E21" s="45">
        <v>2</v>
      </c>
      <c r="F21" s="46">
        <v>3</v>
      </c>
      <c r="G21" s="47">
        <v>4</v>
      </c>
      <c r="J21" s="2"/>
    </row>
    <row r="22" spans="1:10" ht="30" customHeight="1" x14ac:dyDescent="0.25">
      <c r="A22" s="25"/>
      <c r="B22" s="25"/>
      <c r="C22" s="20" t="s">
        <v>26</v>
      </c>
      <c r="D22" s="27" t="s">
        <v>58</v>
      </c>
      <c r="E22" s="45">
        <v>1</v>
      </c>
      <c r="F22" s="46">
        <v>3</v>
      </c>
      <c r="G22" s="47">
        <v>4</v>
      </c>
      <c r="J22" s="2"/>
    </row>
    <row r="23" spans="1:10" ht="30" customHeight="1" x14ac:dyDescent="0.3">
      <c r="A23" s="15"/>
      <c r="B23" s="15"/>
      <c r="C23" s="16">
        <v>1.4</v>
      </c>
      <c r="D23" s="17" t="s">
        <v>59</v>
      </c>
      <c r="E23" s="18"/>
      <c r="F23" s="18"/>
      <c r="G23" s="18"/>
      <c r="J23" s="2"/>
    </row>
    <row r="24" spans="1:10" ht="30" customHeight="1" x14ac:dyDescent="0.25">
      <c r="A24" s="25"/>
      <c r="B24" s="25"/>
      <c r="C24" s="20" t="s">
        <v>27</v>
      </c>
      <c r="D24" s="27" t="s">
        <v>60</v>
      </c>
      <c r="E24" s="45">
        <v>2</v>
      </c>
      <c r="F24" s="46">
        <v>3</v>
      </c>
      <c r="G24" s="47">
        <v>4</v>
      </c>
      <c r="J24" s="2"/>
    </row>
    <row r="25" spans="1:10" ht="30" customHeight="1" x14ac:dyDescent="0.25">
      <c r="A25" s="25"/>
      <c r="B25" s="25"/>
      <c r="C25" s="20" t="s">
        <v>28</v>
      </c>
      <c r="D25" s="27" t="s">
        <v>61</v>
      </c>
      <c r="E25" s="45">
        <v>2</v>
      </c>
      <c r="F25" s="46">
        <v>3</v>
      </c>
      <c r="G25" s="47">
        <v>4</v>
      </c>
      <c r="J25" s="2"/>
    </row>
    <row r="26" spans="1:10" ht="30" customHeight="1" x14ac:dyDescent="0.25">
      <c r="A26" s="25"/>
      <c r="B26" s="25"/>
      <c r="C26" s="20" t="s">
        <v>29</v>
      </c>
      <c r="D26" s="27" t="s">
        <v>62</v>
      </c>
      <c r="E26" s="45">
        <v>3</v>
      </c>
      <c r="F26" s="46">
        <v>4</v>
      </c>
      <c r="G26" s="47">
        <v>5</v>
      </c>
      <c r="J26" s="2"/>
    </row>
    <row r="27" spans="1:10" ht="30" customHeight="1" x14ac:dyDescent="0.3">
      <c r="A27" s="15"/>
      <c r="B27" s="15"/>
      <c r="C27" s="16">
        <v>1.5</v>
      </c>
      <c r="D27" s="17" t="s">
        <v>63</v>
      </c>
      <c r="E27" s="18"/>
      <c r="F27" s="18"/>
      <c r="G27" s="18"/>
      <c r="J27" s="2"/>
    </row>
    <row r="28" spans="1:10" ht="30" customHeight="1" x14ac:dyDescent="0.25">
      <c r="A28" s="25"/>
      <c r="B28" s="25"/>
      <c r="C28" s="20" t="s">
        <v>30</v>
      </c>
      <c r="D28" s="28" t="s">
        <v>64</v>
      </c>
      <c r="E28" s="22">
        <v>3</v>
      </c>
      <c r="F28" s="23">
        <v>5</v>
      </c>
      <c r="G28" s="24">
        <v>7</v>
      </c>
      <c r="J28" s="2"/>
    </row>
    <row r="29" spans="1:10" ht="30" customHeight="1" x14ac:dyDescent="0.25">
      <c r="A29" s="25"/>
      <c r="B29" s="25"/>
      <c r="C29" s="20" t="s">
        <v>65</v>
      </c>
      <c r="D29" s="28" t="s">
        <v>66</v>
      </c>
      <c r="E29" s="22">
        <v>5</v>
      </c>
      <c r="F29" s="23">
        <v>9</v>
      </c>
      <c r="G29" s="24">
        <v>13</v>
      </c>
      <c r="J29" s="2"/>
    </row>
    <row r="30" spans="1:10" ht="30" customHeight="1" x14ac:dyDescent="0.3">
      <c r="A30" s="29"/>
      <c r="B30" s="29"/>
      <c r="C30" s="16">
        <v>1.6</v>
      </c>
      <c r="D30" s="17" t="s">
        <v>67</v>
      </c>
      <c r="E30" s="18"/>
      <c r="F30" s="18"/>
      <c r="G30" s="18"/>
      <c r="J30" s="2"/>
    </row>
    <row r="31" spans="1:10" ht="30" customHeight="1" x14ac:dyDescent="0.3">
      <c r="A31" s="19"/>
      <c r="B31" s="19"/>
      <c r="C31" s="30" t="s">
        <v>31</v>
      </c>
      <c r="D31" s="31" t="s">
        <v>68</v>
      </c>
      <c r="E31" s="32">
        <v>5</v>
      </c>
      <c r="F31" s="33">
        <v>8</v>
      </c>
      <c r="G31" s="24">
        <v>12</v>
      </c>
      <c r="J31" s="2"/>
    </row>
    <row r="32" spans="1:10" ht="30" customHeight="1" x14ac:dyDescent="0.25">
      <c r="A32" s="25"/>
      <c r="B32" s="25"/>
      <c r="C32" s="20" t="s">
        <v>32</v>
      </c>
      <c r="D32" s="28" t="s">
        <v>69</v>
      </c>
      <c r="E32" s="22">
        <v>2</v>
      </c>
      <c r="F32" s="23">
        <v>4</v>
      </c>
      <c r="G32" s="24">
        <v>6</v>
      </c>
      <c r="J32" s="2"/>
    </row>
    <row r="33" spans="1:10" ht="30" customHeight="1" x14ac:dyDescent="0.25">
      <c r="A33" s="26"/>
      <c r="B33" s="26"/>
      <c r="C33" s="16">
        <v>1.7</v>
      </c>
      <c r="D33" s="17" t="s">
        <v>70</v>
      </c>
      <c r="E33" s="18"/>
      <c r="F33" s="18"/>
      <c r="G33" s="18"/>
      <c r="J33" s="2"/>
    </row>
    <row r="34" spans="1:10" ht="30" customHeight="1" x14ac:dyDescent="0.25">
      <c r="A34" s="25"/>
      <c r="B34" s="25"/>
      <c r="C34" s="20" t="s">
        <v>33</v>
      </c>
      <c r="D34" s="27" t="s">
        <v>71</v>
      </c>
      <c r="E34" s="22">
        <v>2</v>
      </c>
      <c r="F34" s="23">
        <v>3</v>
      </c>
      <c r="G34" s="24">
        <v>5</v>
      </c>
      <c r="J34" s="2"/>
    </row>
    <row r="35" spans="1:10" ht="30" customHeight="1" x14ac:dyDescent="0.25">
      <c r="A35" s="25"/>
      <c r="B35" s="25"/>
      <c r="C35" s="20" t="s">
        <v>42</v>
      </c>
      <c r="D35" s="27" t="s">
        <v>72</v>
      </c>
      <c r="E35" s="22">
        <v>3</v>
      </c>
      <c r="F35" s="23">
        <v>4</v>
      </c>
      <c r="G35" s="24">
        <v>6</v>
      </c>
      <c r="J35" s="2"/>
    </row>
    <row r="36" spans="1:10" ht="30" customHeight="1" x14ac:dyDescent="0.25">
      <c r="B36" s="25"/>
      <c r="C36" s="20" t="s">
        <v>4</v>
      </c>
      <c r="D36" s="17" t="s">
        <v>1</v>
      </c>
      <c r="E36" s="22"/>
      <c r="F36" s="23"/>
      <c r="G36" s="24"/>
    </row>
    <row r="37" spans="1:10" ht="30" customHeight="1" x14ac:dyDescent="0.25">
      <c r="A37" s="25"/>
      <c r="B37" s="25"/>
      <c r="C37" s="20" t="s">
        <v>76</v>
      </c>
      <c r="D37" s="27" t="s">
        <v>41</v>
      </c>
      <c r="E37" s="22">
        <v>6</v>
      </c>
      <c r="F37" s="23">
        <v>10</v>
      </c>
      <c r="G37" s="24">
        <v>14</v>
      </c>
    </row>
    <row r="38" spans="1:10" ht="30" customHeight="1" x14ac:dyDescent="0.25">
      <c r="B38" s="25"/>
      <c r="C38" s="20" t="s">
        <v>77</v>
      </c>
      <c r="D38" s="27" t="s">
        <v>5</v>
      </c>
      <c r="E38" s="22">
        <v>5</v>
      </c>
      <c r="F38" s="23">
        <v>9</v>
      </c>
      <c r="G38" s="24">
        <v>12</v>
      </c>
    </row>
    <row r="39" spans="1:10" ht="30" customHeight="1" x14ac:dyDescent="0.25">
      <c r="A39" s="25"/>
      <c r="B39" s="25"/>
      <c r="C39" s="20" t="s">
        <v>78</v>
      </c>
      <c r="D39" s="27" t="s">
        <v>81</v>
      </c>
      <c r="E39" s="22">
        <v>3</v>
      </c>
      <c r="F39" s="23">
        <v>5</v>
      </c>
      <c r="G39" s="24">
        <v>8</v>
      </c>
    </row>
    <row r="40" spans="1:10" ht="30" customHeight="1" x14ac:dyDescent="0.25">
      <c r="B40" s="25"/>
      <c r="C40" s="20" t="s">
        <v>79</v>
      </c>
      <c r="D40" s="27" t="s">
        <v>82</v>
      </c>
      <c r="E40" s="22">
        <v>3</v>
      </c>
      <c r="F40" s="23">
        <v>6</v>
      </c>
      <c r="G40" s="24">
        <v>8</v>
      </c>
    </row>
    <row r="41" spans="1:10" ht="30" customHeight="1" x14ac:dyDescent="0.25">
      <c r="A41" s="25"/>
      <c r="B41" s="25"/>
      <c r="C41" s="20" t="s">
        <v>80</v>
      </c>
      <c r="D41" s="27" t="s">
        <v>6</v>
      </c>
      <c r="E41" s="22">
        <v>5</v>
      </c>
      <c r="F41" s="23">
        <v>7</v>
      </c>
      <c r="G41" s="24">
        <v>9</v>
      </c>
    </row>
    <row r="42" spans="1:10" ht="30" customHeight="1" x14ac:dyDescent="0.25">
      <c r="B42" s="25"/>
      <c r="C42" s="20" t="s">
        <v>73</v>
      </c>
      <c r="D42" s="17" t="s">
        <v>34</v>
      </c>
      <c r="E42" s="22"/>
      <c r="F42" s="23"/>
      <c r="G42" s="24"/>
    </row>
    <row r="43" spans="1:10" ht="30" customHeight="1" x14ac:dyDescent="0.25">
      <c r="A43" s="25"/>
      <c r="B43" s="25"/>
      <c r="C43" s="20" t="s">
        <v>83</v>
      </c>
      <c r="D43" s="27" t="s">
        <v>84</v>
      </c>
      <c r="E43" s="22">
        <v>4</v>
      </c>
      <c r="F43" s="23">
        <v>6</v>
      </c>
      <c r="G43" s="24">
        <v>10</v>
      </c>
    </row>
    <row r="44" spans="1:10" ht="30" customHeight="1" x14ac:dyDescent="0.25">
      <c r="B44" s="25"/>
      <c r="C44" s="20" t="s">
        <v>85</v>
      </c>
      <c r="D44" s="27" t="s">
        <v>88</v>
      </c>
      <c r="E44" s="22">
        <v>3</v>
      </c>
      <c r="F44" s="23">
        <v>4</v>
      </c>
      <c r="G44" s="24">
        <v>6</v>
      </c>
    </row>
    <row r="45" spans="1:10" ht="30" customHeight="1" x14ac:dyDescent="0.25">
      <c r="A45" s="25"/>
      <c r="B45" s="25"/>
      <c r="C45" s="20" t="s">
        <v>86</v>
      </c>
      <c r="D45" s="27" t="s">
        <v>89</v>
      </c>
      <c r="E45" s="22">
        <v>7</v>
      </c>
      <c r="F45" s="23">
        <v>11</v>
      </c>
      <c r="G45" s="24">
        <v>14</v>
      </c>
    </row>
    <row r="46" spans="1:10" ht="30" customHeight="1" x14ac:dyDescent="0.25">
      <c r="B46" s="25"/>
      <c r="C46" s="20" t="s">
        <v>87</v>
      </c>
      <c r="D46" s="27" t="s">
        <v>90</v>
      </c>
      <c r="E46" s="22">
        <v>2</v>
      </c>
      <c r="F46" s="23">
        <v>4</v>
      </c>
      <c r="G46" s="24">
        <v>6</v>
      </c>
    </row>
    <row r="47" spans="1:10" ht="30" customHeight="1" x14ac:dyDescent="0.25">
      <c r="A47" s="25"/>
      <c r="B47" s="25"/>
      <c r="C47" s="20" t="s">
        <v>74</v>
      </c>
      <c r="D47" s="17" t="s">
        <v>103</v>
      </c>
      <c r="E47" s="22"/>
      <c r="F47" s="23"/>
      <c r="G47" s="24"/>
    </row>
    <row r="48" spans="1:10" ht="30" customHeight="1" x14ac:dyDescent="0.25">
      <c r="B48" s="25"/>
      <c r="C48" s="20" t="s">
        <v>97</v>
      </c>
      <c r="D48" s="27" t="s">
        <v>94</v>
      </c>
      <c r="E48" s="22">
        <v>4</v>
      </c>
      <c r="F48" s="23">
        <v>6</v>
      </c>
      <c r="G48" s="24">
        <v>8</v>
      </c>
    </row>
    <row r="49" spans="1:8" ht="30" customHeight="1" x14ac:dyDescent="0.25">
      <c r="A49" s="25"/>
      <c r="B49" s="25"/>
      <c r="C49" s="20" t="s">
        <v>98</v>
      </c>
      <c r="D49" s="27" t="s">
        <v>95</v>
      </c>
      <c r="E49" s="22">
        <v>3</v>
      </c>
      <c r="F49" s="23">
        <v>5</v>
      </c>
      <c r="G49" s="24">
        <v>7</v>
      </c>
    </row>
    <row r="50" spans="1:8" ht="19.95" customHeight="1" x14ac:dyDescent="0.25">
      <c r="B50" s="25"/>
      <c r="C50" s="20" t="s">
        <v>99</v>
      </c>
      <c r="D50" s="27" t="s">
        <v>96</v>
      </c>
      <c r="E50" s="22">
        <v>3</v>
      </c>
      <c r="F50" s="23">
        <v>4</v>
      </c>
      <c r="G50" s="24">
        <v>6</v>
      </c>
    </row>
    <row r="51" spans="1:8" ht="30" customHeight="1" x14ac:dyDescent="0.25">
      <c r="A51" s="25"/>
      <c r="B51" s="25"/>
      <c r="C51" s="20" t="s">
        <v>75</v>
      </c>
      <c r="D51" s="17" t="s">
        <v>104</v>
      </c>
      <c r="E51" s="22"/>
      <c r="F51" s="23"/>
      <c r="G51" s="24"/>
    </row>
    <row r="52" spans="1:8" ht="30" customHeight="1" x14ac:dyDescent="0.25">
      <c r="B52" s="25"/>
      <c r="C52" s="20" t="s">
        <v>91</v>
      </c>
      <c r="D52" s="27" t="s">
        <v>100</v>
      </c>
      <c r="E52" s="22">
        <v>2</v>
      </c>
      <c r="F52" s="23">
        <v>4</v>
      </c>
      <c r="G52" s="24">
        <v>7</v>
      </c>
    </row>
    <row r="53" spans="1:8" ht="30" customHeight="1" x14ac:dyDescent="0.25">
      <c r="A53" s="25"/>
      <c r="B53" s="25"/>
      <c r="C53" s="20" t="s">
        <v>92</v>
      </c>
      <c r="D53" s="27" t="s">
        <v>101</v>
      </c>
      <c r="E53" s="22">
        <v>12</v>
      </c>
      <c r="F53" s="23">
        <v>22</v>
      </c>
      <c r="G53" s="24">
        <v>35</v>
      </c>
    </row>
    <row r="54" spans="1:8" ht="30" customHeight="1" x14ac:dyDescent="0.25">
      <c r="B54" s="25"/>
      <c r="C54" s="20" t="s">
        <v>93</v>
      </c>
      <c r="D54" s="27" t="s">
        <v>102</v>
      </c>
      <c r="E54" s="22">
        <v>10</v>
      </c>
      <c r="F54" s="23">
        <v>18</v>
      </c>
      <c r="G54" s="24">
        <v>28</v>
      </c>
    </row>
    <row r="55" spans="1:8" ht="30" customHeight="1" x14ac:dyDescent="0.3">
      <c r="A55" s="19"/>
      <c r="B55" s="19"/>
      <c r="C55" s="37"/>
      <c r="D55" s="27"/>
      <c r="E55" s="22"/>
      <c r="F55" s="23"/>
      <c r="G55" s="24"/>
      <c r="H55" s="44" t="s">
        <v>43</v>
      </c>
    </row>
    <row r="56" spans="1:8" ht="19.95" customHeight="1" x14ac:dyDescent="0.3">
      <c r="A56" s="19"/>
      <c r="B56" s="19"/>
      <c r="C56" s="38"/>
      <c r="D56" s="28"/>
      <c r="E56" s="34"/>
      <c r="F56" s="35"/>
      <c r="G56" s="36"/>
      <c r="H56" s="40">
        <f>SUM(E57:G57)</f>
        <v>627</v>
      </c>
    </row>
    <row r="57" spans="1:8" ht="30" customHeight="1" x14ac:dyDescent="0.3">
      <c r="A57" s="39" t="s">
        <v>35</v>
      </c>
      <c r="B57" s="19"/>
      <c r="C57" s="38"/>
      <c r="D57" s="35"/>
      <c r="E57" s="40">
        <f>SUM(E10:E55)</f>
        <v>122</v>
      </c>
      <c r="F57" s="40">
        <f>SUM(F10:F55)</f>
        <v>203</v>
      </c>
      <c r="G57" s="40">
        <f>SUM(G10:G55)</f>
        <v>302</v>
      </c>
    </row>
    <row r="58" spans="1:8" ht="30" customHeight="1" x14ac:dyDescent="0.25">
      <c r="B58" s="2"/>
    </row>
    <row r="59" spans="1:8" ht="30" customHeight="1" x14ac:dyDescent="0.25">
      <c r="B59" s="2"/>
    </row>
    <row r="60" spans="1:8" ht="30" customHeight="1" x14ac:dyDescent="0.25">
      <c r="B60" s="2"/>
    </row>
    <row r="61" spans="1:8" ht="30" customHeight="1" x14ac:dyDescent="0.25">
      <c r="B61" s="2"/>
    </row>
    <row r="62" spans="1:8" ht="19.95" customHeight="1" x14ac:dyDescent="0.25">
      <c r="B62" s="2"/>
    </row>
    <row r="63" spans="1:8" ht="30" customHeight="1" x14ac:dyDescent="0.25">
      <c r="B63" s="2"/>
    </row>
    <row r="64" spans="1:8" ht="30" customHeight="1" x14ac:dyDescent="0.25">
      <c r="B64" s="2"/>
    </row>
    <row r="65" spans="2:2" ht="30" customHeight="1" x14ac:dyDescent="0.25">
      <c r="B65" s="2"/>
    </row>
    <row r="66" spans="2:2" ht="30" customHeight="1" x14ac:dyDescent="0.25">
      <c r="B66" s="2"/>
    </row>
    <row r="67" spans="2:2" ht="19.95" customHeight="1" x14ac:dyDescent="0.25">
      <c r="B67" s="2"/>
    </row>
    <row r="68" spans="2:2" ht="30" customHeight="1" x14ac:dyDescent="0.25">
      <c r="B68" s="2"/>
    </row>
    <row r="69" spans="2:2" ht="30" customHeight="1" x14ac:dyDescent="0.25">
      <c r="B69" s="2"/>
    </row>
    <row r="70" spans="2:2" ht="30" customHeight="1" x14ac:dyDescent="0.25">
      <c r="B70" s="2"/>
    </row>
    <row r="71" spans="2:2" ht="30" customHeight="1" x14ac:dyDescent="0.25">
      <c r="B71" s="2"/>
    </row>
    <row r="72" spans="2:2" ht="30" customHeight="1" x14ac:dyDescent="0.25">
      <c r="B72" s="2"/>
    </row>
    <row r="73" spans="2:2" ht="19.95" customHeight="1" x14ac:dyDescent="0.25">
      <c r="B73" s="2"/>
    </row>
    <row r="74" spans="2:2" ht="30" customHeight="1" x14ac:dyDescent="0.25">
      <c r="B74" s="2"/>
    </row>
    <row r="75" spans="2:2" ht="30" customHeight="1" x14ac:dyDescent="0.25">
      <c r="B75" s="2"/>
    </row>
    <row r="76" spans="2:2" ht="30" customHeight="1" x14ac:dyDescent="0.25">
      <c r="B76" s="2"/>
    </row>
    <row r="77" spans="2:2" ht="30" customHeight="1" x14ac:dyDescent="0.25">
      <c r="B77" s="2"/>
    </row>
    <row r="78" spans="2:2" ht="30" customHeight="1" x14ac:dyDescent="0.25">
      <c r="B78" s="2"/>
    </row>
    <row r="79" spans="2:2" ht="30" customHeight="1" x14ac:dyDescent="0.25">
      <c r="B79" s="2"/>
    </row>
    <row r="80" spans="2:2" ht="19.95" customHeight="1" x14ac:dyDescent="0.25">
      <c r="B80" s="2"/>
    </row>
    <row r="81" spans="1:10" ht="30" customHeight="1" x14ac:dyDescent="0.25">
      <c r="B81" s="2"/>
    </row>
    <row r="82" spans="1:10" ht="30" customHeight="1" x14ac:dyDescent="0.25">
      <c r="B82" s="2"/>
    </row>
    <row r="83" spans="1:10" ht="30" customHeight="1" x14ac:dyDescent="0.25">
      <c r="B83" s="2"/>
    </row>
    <row r="84" spans="1:10" ht="30" customHeight="1" x14ac:dyDescent="0.25">
      <c r="B84" s="2"/>
    </row>
    <row r="85" spans="1:10" ht="30" customHeight="1" x14ac:dyDescent="0.25"/>
    <row r="86" spans="1:10" ht="30" customHeight="1" x14ac:dyDescent="0.25">
      <c r="J86" s="2"/>
    </row>
    <row r="87" spans="1:10" ht="30" customHeight="1" x14ac:dyDescent="0.25">
      <c r="J87" s="2"/>
    </row>
    <row r="88" spans="1:10" ht="15.6" x14ac:dyDescent="0.25">
      <c r="J88" s="2"/>
    </row>
    <row r="89" spans="1:10" ht="15.6" x14ac:dyDescent="0.25">
      <c r="A89" s="2"/>
      <c r="B89" s="2"/>
      <c r="C89" s="2"/>
      <c r="D89" s="2"/>
      <c r="E89" s="2"/>
      <c r="F89" s="2"/>
      <c r="G89" s="2"/>
      <c r="J89" s="2"/>
    </row>
    <row r="90" spans="1:10" ht="15.6" x14ac:dyDescent="0.25">
      <c r="A90" s="2"/>
      <c r="B90" s="2"/>
      <c r="C90" s="2"/>
      <c r="D90" s="2"/>
      <c r="E90" s="2"/>
      <c r="F90" s="2"/>
      <c r="G90" s="2"/>
      <c r="J90" s="2"/>
    </row>
    <row r="91" spans="1:10" ht="15.6" x14ac:dyDescent="0.25">
      <c r="A91" s="2"/>
      <c r="B91" s="2"/>
      <c r="C91" s="2"/>
      <c r="D91" s="2"/>
      <c r="E91" s="2"/>
      <c r="F91" s="2"/>
      <c r="G91" s="2"/>
      <c r="J91" s="2"/>
    </row>
  </sheetData>
  <mergeCells count="6">
    <mergeCell ref="E8:G8"/>
    <mergeCell ref="A1:C6"/>
    <mergeCell ref="D3:E3"/>
    <mergeCell ref="D5:E5"/>
    <mergeCell ref="D6:E6"/>
    <mergeCell ref="D4:E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Агамет Агаметов</dc:creator>
  <cp:lastModifiedBy>warrior</cp:lastModifiedBy>
  <dcterms:created xsi:type="dcterms:W3CDTF">2026-05-02T09:18:34Z</dcterms:created>
  <dcterms:modified xsi:type="dcterms:W3CDTF">2026-05-23T03:27:35Z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2026-05-02T00:00:00Z</vt:filetime>
  </property>
  <property fmtid="{D5CDD505-2E9C-101B-9397-08002B2CF9AE}" pid="4" name="LastSaved">
    <vt:filetime>2026-05-02T00:00:00Z</vt:filetime>
  </property>
  <property fmtid="{D5CDD505-2E9C-101B-9397-08002B2CF9AE}" pid="5" name="Producer">
    <vt:lpwstr>iLovePDF</vt:lpwstr>
  </property>
</Properties>
</file>
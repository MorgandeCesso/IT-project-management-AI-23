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yma\Desktop\OOOOO\students\Джаббаров Неймадди Али оглы\laba3\"/>
    </mc:Choice>
  </mc:AlternateContent>
  <xr:revisionPtr revIDLastSave="0" documentId="13_ncr:1_{704DFAD4-E69C-4580-98CE-A198CB626B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9" i="2" l="1"/>
  <c r="E71" i="2"/>
  <c r="G71" i="2"/>
  <c r="F71" i="2"/>
  <c r="H22" i="2"/>
  <c r="H23" i="2"/>
  <c r="H24" i="2"/>
  <c r="H26" i="2"/>
  <c r="H27" i="2"/>
  <c r="H28" i="2"/>
  <c r="H30" i="2"/>
  <c r="H32" i="2"/>
  <c r="H33" i="2"/>
  <c r="H35" i="2"/>
  <c r="H36" i="2"/>
  <c r="H40" i="2"/>
  <c r="H41" i="2"/>
  <c r="H42" i="2"/>
  <c r="H43" i="2"/>
  <c r="H44" i="2"/>
  <c r="H47" i="2"/>
  <c r="H48" i="2"/>
  <c r="H49" i="2"/>
  <c r="H50" i="2"/>
  <c r="H53" i="2"/>
  <c r="H54" i="2"/>
  <c r="H55" i="2"/>
  <c r="H58" i="2"/>
  <c r="H59" i="2"/>
  <c r="H60" i="2"/>
  <c r="H61" i="2"/>
  <c r="H64" i="2"/>
  <c r="H65" i="2"/>
  <c r="H66" i="2"/>
  <c r="H67" i="2"/>
  <c r="H68" i="2"/>
  <c r="H11" i="2"/>
  <c r="H18" i="2"/>
  <c r="H17" i="2"/>
  <c r="H15" i="2"/>
  <c r="H14" i="2"/>
  <c r="H13" i="2"/>
  <c r="H19" i="2"/>
  <c r="H20" i="2"/>
  <c r="H12" i="2"/>
  <c r="H71" i="2" l="1"/>
  <c r="G7" i="2" s="1"/>
  <c r="G2" i="2" s="1"/>
  <c r="F7" i="2" l="1"/>
  <c r="G3" i="2"/>
  <c r="G4" i="2" s="1"/>
  <c r="G5" i="2" s="1"/>
  <c r="F2" i="2"/>
  <c r="F3" i="2" s="1"/>
  <c r="F4" i="2" s="1"/>
  <c r="F5" i="2" s="1"/>
</calcChain>
</file>

<file path=xl/sharedStrings.xml><?xml version="1.0" encoding="utf-8"?>
<sst xmlns="http://schemas.openxmlformats.org/spreadsheetml/2006/main" count="126" uniqueCount="126">
  <si>
    <t xml:space="preserve"> </t>
  </si>
  <si>
    <t>Тестирование</t>
  </si>
  <si>
    <t>1</t>
  </si>
  <si>
    <t>2</t>
  </si>
  <si>
    <t>Интеграционное тестирование</t>
  </si>
  <si>
    <t>Регрессионное тестирование</t>
  </si>
  <si>
    <t>Оптимальная длительность проекта (месяцы)</t>
  </si>
  <si>
    <t>Range start</t>
  </si>
  <si>
    <t>Range finish</t>
  </si>
  <si>
    <t>Человеко месяцы</t>
  </si>
  <si>
    <t>Стоимость нормочаса, руб.</t>
  </si>
  <si>
    <t>Стоимость проекта, руб.</t>
  </si>
  <si>
    <t>пункт ТЗ</t>
  </si>
  <si>
    <t>Разработка ПО</t>
  </si>
  <si>
    <t>1.1.1</t>
  </si>
  <si>
    <t>1.1.2</t>
  </si>
  <si>
    <t>1.1.3</t>
  </si>
  <si>
    <t>1.1.4</t>
  </si>
  <si>
    <t>1.1.5</t>
  </si>
  <si>
    <t>1.2.1</t>
  </si>
  <si>
    <t>1.2.2</t>
  </si>
  <si>
    <t>1.2.3</t>
  </si>
  <si>
    <t>1.2.4</t>
  </si>
  <si>
    <t>1.3.1</t>
  </si>
  <si>
    <t>1.3.2</t>
  </si>
  <si>
    <r>
      <t>1.3.3</t>
    </r>
    <r>
      <rPr>
        <sz val="11"/>
        <color theme="1"/>
        <rFont val="Calibri"/>
        <family val="2"/>
        <charset val="204"/>
        <scheme val="minor"/>
      </rPr>
      <t/>
    </r>
  </si>
  <si>
    <t>1.4.1</t>
  </si>
  <si>
    <r>
      <t>1.4.2</t>
    </r>
    <r>
      <rPr>
        <sz val="11"/>
        <color theme="1"/>
        <rFont val="Calibri"/>
        <family val="2"/>
        <charset val="204"/>
        <scheme val="minor"/>
      </rPr>
      <t/>
    </r>
  </si>
  <si>
    <r>
      <t>1.4.3</t>
    </r>
    <r>
      <rPr>
        <sz val="11"/>
        <color theme="1"/>
        <rFont val="Calibri"/>
        <family val="2"/>
        <charset val="204"/>
        <scheme val="minor"/>
      </rPr>
      <t/>
    </r>
  </si>
  <si>
    <t>1.5.1</t>
  </si>
  <si>
    <t>1.6.1</t>
  </si>
  <si>
    <t>1.6.2</t>
  </si>
  <si>
    <t>1.7.1</t>
  </si>
  <si>
    <t>Разработка документации</t>
  </si>
  <si>
    <t>Менеджмент</t>
  </si>
  <si>
    <t>Пресейл</t>
  </si>
  <si>
    <t>Итог</t>
  </si>
  <si>
    <r>
      <rPr>
        <b/>
        <sz val="12"/>
        <rFont val="Times New Roman"/>
        <family val="1"/>
        <charset val="204"/>
      </rPr>
      <t>Требует
уточнения</t>
    </r>
  </si>
  <si>
    <r>
      <rPr>
        <b/>
        <sz val="12"/>
        <color rgb="FFFFFFFF"/>
        <rFont val="Times New Roman"/>
        <family val="1"/>
        <charset val="204"/>
      </rPr>
      <t>#ПП</t>
    </r>
  </si>
  <si>
    <t>Нагрузочное тестирование</t>
  </si>
  <si>
    <t>Приёмочное тестирование</t>
  </si>
  <si>
    <t>Техническая документация</t>
  </si>
  <si>
    <t>1.7.2</t>
  </si>
  <si>
    <t>Человеко часы</t>
  </si>
  <si>
    <t>Оптимист в часах</t>
  </si>
  <si>
    <t>Ожидаемая оценка в часах</t>
  </si>
  <si>
    <t>Работы</t>
  </si>
  <si>
    <t>Реалист в часах</t>
  </si>
  <si>
    <t>Пессимист в часах</t>
  </si>
  <si>
    <t>Человеко-дни</t>
  </si>
  <si>
    <t>1.1</t>
  </si>
  <si>
    <t>1.2</t>
  </si>
  <si>
    <t>1.3</t>
  </si>
  <si>
    <t>1.4</t>
  </si>
  <si>
    <t>1.5</t>
  </si>
  <si>
    <t>1.6</t>
  </si>
  <si>
    <t>1.7</t>
  </si>
  <si>
    <t>2.1</t>
  </si>
  <si>
    <t>2.2</t>
  </si>
  <si>
    <t>2.3</t>
  </si>
  <si>
    <t>2.4</t>
  </si>
  <si>
    <t>2.5</t>
  </si>
  <si>
    <t>3.1</t>
  </si>
  <si>
    <t>3.2</t>
  </si>
  <si>
    <t>3.3</t>
  </si>
  <si>
    <t>3.4</t>
  </si>
  <si>
    <t>4.1</t>
  </si>
  <si>
    <t>4.2</t>
  </si>
  <si>
    <t>4.3</t>
  </si>
  <si>
    <t>5.1</t>
  </si>
  <si>
    <t>5.2</t>
  </si>
  <si>
    <t>5.3</t>
  </si>
  <si>
    <t>5.4</t>
  </si>
  <si>
    <t>6.1</t>
  </si>
  <si>
    <t>6.2</t>
  </si>
  <si>
    <t>6.3</t>
  </si>
  <si>
    <t>6.4</t>
  </si>
  <si>
    <t>Аутентификация и роли</t>
  </si>
  <si>
    <t>JWT авторизация</t>
  </si>
  <si>
    <t>Роли USER/ADMIN</t>
  </si>
  <si>
    <t>Регистрация и логин</t>
  </si>
  <si>
    <t>Блокировка после 3 неудачных попыток</t>
  </si>
  <si>
    <t>Реализация смены пароля после первого входа и востановление</t>
  </si>
  <si>
    <t>Киберспортивные команды</t>
  </si>
  <si>
    <t>CRUD операций для команд</t>
  </si>
  <si>
    <t>Состав команды (игроки, роли)</t>
  </si>
  <si>
    <t>Логотипы и медиа команды</t>
  </si>
  <si>
    <t>Турниры и матчи</t>
  </si>
  <si>
    <t>Создание и управление турнирами</t>
  </si>
  <si>
    <t>Количество команд</t>
  </si>
  <si>
    <t>Сетка турнира (playoffs, группы)</t>
  </si>
  <si>
    <t>Расписание матчей</t>
  </si>
  <si>
    <t>Новости и контент</t>
  </si>
  <si>
    <t xml:space="preserve">	Лента новостей киберспорта</t>
  </si>
  <si>
    <t>Комментарии и лайки</t>
  </si>
  <si>
    <t>Теги и категории</t>
  </si>
  <si>
    <t>Рейтинговая система</t>
  </si>
  <si>
    <t>Рейтинг команд СНГ</t>
  </si>
  <si>
    <t>Трансляции</t>
  </si>
  <si>
    <t xml:space="preserve">	Интеграция Twitch/YouTube</t>
  </si>
  <si>
    <t>Встраивание видео матчей</t>
  </si>
  <si>
    <t>Профиль пользователя</t>
  </si>
  <si>
    <t>Личный кабинет</t>
  </si>
  <si>
    <t xml:space="preserve">	Избранные команды и уведомления</t>
  </si>
  <si>
    <t>Модульное тестирование (API)</t>
  </si>
  <si>
    <t xml:space="preserve">	Руководство пользователя</t>
  </si>
  <si>
    <t>API документация (Swagger)</t>
  </si>
  <si>
    <t>Инструкция для администраторов</t>
  </si>
  <si>
    <t xml:space="preserve">Внедрение и DevOps </t>
  </si>
  <si>
    <t xml:space="preserve">	Docker-контейнеризация</t>
  </si>
  <si>
    <t>Настройка CI/CD пайплайна</t>
  </si>
  <si>
    <t xml:space="preserve">	Развёртывание на сервере</t>
  </si>
  <si>
    <t>Управление проектом</t>
  </si>
  <si>
    <t>Совещания и ретроспективы</t>
  </si>
  <si>
    <t>Коммуникация с заказчиком</t>
  </si>
  <si>
    <t xml:space="preserve">	Управление рисками</t>
  </si>
  <si>
    <t>Анализ требований</t>
  </si>
  <si>
    <t xml:space="preserve">	Оценка проекта</t>
  </si>
  <si>
    <t>Составление ТЗ</t>
  </si>
  <si>
    <t xml:space="preserve">	Прототипирование интерфейса</t>
  </si>
  <si>
    <t xml:space="preserve">6.4.1 </t>
  </si>
  <si>
    <t>Сбор и анализ требований заказчика</t>
  </si>
  <si>
    <t>Описание функциональных требований</t>
  </si>
  <si>
    <t>Описание нефункциональных требований</t>
  </si>
  <si>
    <t>6.4.2</t>
  </si>
  <si>
    <t>6.4.3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</si>
</sst>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"/>
  </numFmts>
  <fonts count="12" x14ac:knownFonts="1">
    <font>
      <sz val="10"/>
      <color rgb="FF000000"/>
      <name val="Times New Roman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1"/>
    </font>
    <font>
      <sz val="8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rgb="FFFFFFFF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name val="Times New Roman"/>
      <charset val="1"/>
    </font>
    <font>
      <b/>
      <sz val="12"/>
      <color theme="0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D966"/>
      </patternFill>
    </fill>
    <fill>
      <patternFill patternType="solid">
        <fgColor rgb="FFFFFFCC"/>
      </patternFill>
    </fill>
    <fill>
      <patternFill patternType="solid">
        <fgColor rgb="FF6FAC46"/>
      </patternFill>
    </fill>
    <fill>
      <patternFill patternType="solid">
        <fgColor rgb="FFBCD6ED"/>
      </patternFill>
    </fill>
    <fill>
      <patternFill patternType="solid">
        <fgColor rgb="FFDDEBF7"/>
      </patternFill>
    </fill>
    <fill>
      <patternFill patternType="solid">
        <fgColor rgb="FFBCD6ED"/>
        <bgColor rgb="FF99CCFF"/>
      </patternFill>
    </fill>
    <fill>
      <patternFill patternType="solid">
        <fgColor rgb="FFDDEBF7"/>
        <bgColor rgb="FFCCFFFF"/>
      </patternFill>
    </fill>
    <fill>
      <patternFill patternType="solid">
        <f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99CCFF"/>
      </patternFill>
    </fill>
  </fills>
  <borders count="38">
    <border>
      <left/>
      <right/>
      <top/>
      <bottom/>
      <diagonal/>
    </border>
    <border>
      <left/>
      <right/>
      <top/>
      <bottom style="thin">
        <color rgb="FF6FAC46"/>
      </bottom>
      <diagonal/>
    </border>
    <border>
      <left style="thin">
        <color rgb="FFB1B1B1"/>
      </left>
      <right style="thin">
        <color rgb="FFB1B1B1"/>
      </right>
      <top style="thin">
        <color rgb="FFB1B1B1"/>
      </top>
      <bottom style="thin">
        <color rgb="FFB1B1B1"/>
      </bottom>
      <diagonal/>
    </border>
    <border>
      <left style="thin">
        <color rgb="FFB1B1B1"/>
      </left>
      <right/>
      <top style="thin">
        <color rgb="FF6FAC46"/>
      </top>
      <bottom style="thin">
        <color rgb="FF6FAC46"/>
      </bottom>
      <diagonal/>
    </border>
    <border>
      <left/>
      <right/>
      <top style="thin">
        <color rgb="FF6FAC46"/>
      </top>
      <bottom style="thin">
        <color rgb="FF6FAC46"/>
      </bottom>
      <diagonal/>
    </border>
    <border>
      <left/>
      <right style="thin">
        <color rgb="FF6FAC46"/>
      </right>
      <top style="thin">
        <color rgb="FF6FAC46"/>
      </top>
      <bottom style="thin">
        <color rgb="FF6FAC46"/>
      </bottom>
      <diagonal/>
    </border>
    <border>
      <left/>
      <right style="thin">
        <color rgb="FF000000"/>
      </right>
      <top style="thin">
        <color rgb="FF6FAC46"/>
      </top>
      <bottom style="thin">
        <color rgb="FF6FAC46"/>
      </bottom>
      <diagonal/>
    </border>
    <border>
      <left style="thin">
        <color rgb="FF000000"/>
      </left>
      <right/>
      <top style="thin">
        <color rgb="FF6FAC46"/>
      </top>
      <bottom style="thin">
        <color rgb="FF6FAC46"/>
      </bottom>
      <diagonal/>
    </border>
    <border>
      <left style="thin">
        <color rgb="FFB1B1B1"/>
      </left>
      <right/>
      <top style="thin">
        <color rgb="FF6FAC46"/>
      </top>
      <bottom/>
      <diagonal/>
    </border>
    <border>
      <left/>
      <right style="thin">
        <color rgb="FF000000"/>
      </right>
      <top style="thin">
        <color rgb="FF6FAC46"/>
      </top>
      <bottom/>
      <diagonal/>
    </border>
    <border>
      <left/>
      <right/>
      <top style="thin">
        <color rgb="FF6FAC46"/>
      </top>
      <bottom/>
      <diagonal/>
    </border>
    <border>
      <left/>
      <right style="thin">
        <color rgb="FF6FAC46"/>
      </right>
      <top style="thin">
        <color rgb="FF6FAC46"/>
      </top>
      <bottom/>
      <diagonal/>
    </border>
    <border>
      <left style="thin">
        <color rgb="FFB1B1B1"/>
      </left>
      <right style="thin">
        <color rgb="FFB1B1B1"/>
      </right>
      <top style="thin">
        <color rgb="FFB1B1B1"/>
      </top>
      <bottom style="thin">
        <color rgb="FF6FAC46"/>
      </bottom>
      <diagonal/>
    </border>
    <border>
      <left style="thin">
        <color rgb="FFB1B1B1"/>
      </left>
      <right style="thin">
        <color rgb="FFB1B1B1"/>
      </right>
      <top style="thin">
        <color rgb="FF6FAC46"/>
      </top>
      <bottom style="thin">
        <color rgb="FFB1B1B1"/>
      </bottom>
      <diagonal/>
    </border>
    <border>
      <left style="thin">
        <color rgb="FFB1B1B1"/>
      </left>
      <right/>
      <top style="thin">
        <color rgb="FF6FAC46"/>
      </top>
      <bottom style="thin">
        <color rgb="FFB1B1B1"/>
      </bottom>
      <diagonal/>
    </border>
    <border>
      <left/>
      <right style="thin">
        <color rgb="FF000000"/>
      </right>
      <top style="thin">
        <color rgb="FF6FAC46"/>
      </top>
      <bottom style="thin">
        <color rgb="FFB1B1B1"/>
      </bottom>
      <diagonal/>
    </border>
    <border>
      <left style="thin">
        <color rgb="FFB1B1B1"/>
      </left>
      <right style="thin">
        <color rgb="FF000000"/>
      </right>
      <top style="thin">
        <color rgb="FFB1B1B1"/>
      </top>
      <bottom style="thin">
        <color rgb="FF6FAC46"/>
      </bottom>
      <diagonal/>
    </border>
    <border>
      <left/>
      <right/>
      <top style="thin">
        <color rgb="FF6FAC46"/>
      </top>
      <bottom style="thin">
        <color rgb="FFB1B1B1"/>
      </bottom>
      <diagonal/>
    </border>
    <border>
      <left/>
      <right style="thin">
        <color rgb="FF6FAC46"/>
      </right>
      <top style="thin">
        <color rgb="FF6FAC46"/>
      </top>
      <bottom style="thin">
        <color rgb="FFB1B1B1"/>
      </bottom>
      <diagonal/>
    </border>
    <border>
      <left/>
      <right style="thin">
        <color rgb="FF6FAC46"/>
      </right>
      <top style="thin">
        <color rgb="FFB1B1B1"/>
      </top>
      <bottom style="thin">
        <color rgb="FF6FAC46"/>
      </bottom>
      <diagonal/>
    </border>
    <border>
      <left style="thin">
        <color auto="1"/>
      </left>
      <right/>
      <top style="thin">
        <color rgb="FF6FAC46"/>
      </top>
      <bottom style="thin">
        <color rgb="FF6FAC46"/>
      </bottom>
      <diagonal/>
    </border>
    <border>
      <left style="thin">
        <color auto="1"/>
      </left>
      <right/>
      <top style="thin">
        <color rgb="FF6FAC46"/>
      </top>
      <bottom/>
      <diagonal/>
    </border>
    <border>
      <left style="thin">
        <color auto="1"/>
      </left>
      <right/>
      <top style="thin">
        <color rgb="FF6FAC46"/>
      </top>
      <bottom style="thin">
        <color rgb="FFB1B1B1"/>
      </bottom>
      <diagonal/>
    </border>
    <border>
      <left style="thin">
        <color rgb="FFB1B1B1"/>
      </left>
      <right style="thin">
        <color rgb="FFB1B1B1"/>
      </right>
      <top/>
      <bottom style="thin">
        <color rgb="FFB1B1B1"/>
      </bottom>
      <diagonal/>
    </border>
    <border>
      <left style="thin">
        <color rgb="FFB1B1B1"/>
      </left>
      <right/>
      <top/>
      <bottom style="thin">
        <color rgb="FF6FAC46"/>
      </bottom>
      <diagonal/>
    </border>
    <border>
      <left style="thin">
        <color rgb="FFB1B1B1"/>
      </left>
      <right style="thin">
        <color rgb="FF000000"/>
      </right>
      <top/>
      <bottom style="thin">
        <color rgb="FF6FAC46"/>
      </bottom>
      <diagonal/>
    </border>
    <border>
      <left style="thin">
        <color auto="1"/>
      </left>
      <right/>
      <top/>
      <bottom style="thin">
        <color rgb="FF6FAC46"/>
      </bottom>
      <diagonal/>
    </border>
    <border>
      <left/>
      <right style="thin">
        <color rgb="FF6FAC46"/>
      </right>
      <top/>
      <bottom style="thin">
        <color rgb="FF6FAC46"/>
      </bottom>
      <diagonal/>
    </border>
    <border>
      <left style="thin">
        <color rgb="FFB1B1B1"/>
      </left>
      <right style="thin">
        <color rgb="FFB1B1B1"/>
      </right>
      <top style="thin">
        <color rgb="FFB1B1B1"/>
      </top>
      <bottom/>
      <diagonal/>
    </border>
    <border>
      <left style="thin">
        <color theme="1"/>
      </left>
      <right style="thin">
        <color rgb="FFB1B1B1"/>
      </right>
      <top style="thin">
        <color rgb="FFB1B1B1"/>
      </top>
      <bottom style="thin">
        <color rgb="FFB1B1B1"/>
      </bottom>
      <diagonal/>
    </border>
    <border>
      <left/>
      <right style="thin">
        <color theme="1"/>
      </right>
      <top style="thin">
        <color rgb="FF6FAC46"/>
      </top>
      <bottom style="thin">
        <color rgb="FF6FAC46"/>
      </bottom>
      <diagonal/>
    </border>
    <border>
      <left style="thin">
        <color theme="1"/>
      </left>
      <right style="thin">
        <color rgb="FFB1B1B1"/>
      </right>
      <top style="thin">
        <color rgb="FFB1B1B1"/>
      </top>
      <bottom style="thin">
        <color theme="1"/>
      </bottom>
      <diagonal/>
    </border>
    <border>
      <left style="thin">
        <color rgb="FFB1B1B1"/>
      </left>
      <right style="thin">
        <color rgb="FFB1B1B1"/>
      </right>
      <top style="thin">
        <color rgb="FFB1B1B1"/>
      </top>
      <bottom style="thin">
        <color theme="1"/>
      </bottom>
      <diagonal/>
    </border>
    <border>
      <left style="thin">
        <color rgb="FFB1B1B1"/>
      </left>
      <right/>
      <top style="thin">
        <color rgb="FF6FAC46"/>
      </top>
      <bottom style="thin">
        <color theme="1"/>
      </bottom>
      <diagonal/>
    </border>
    <border>
      <left/>
      <right style="thin">
        <color rgb="FF000000"/>
      </right>
      <top style="thin">
        <color rgb="FF6FAC46"/>
      </top>
      <bottom style="thin">
        <color theme="1"/>
      </bottom>
      <diagonal/>
    </border>
    <border>
      <left style="thin">
        <color auto="1"/>
      </left>
      <right/>
      <top style="thin">
        <color rgb="FF6FAC46"/>
      </top>
      <bottom style="thin">
        <color theme="1"/>
      </bottom>
      <diagonal/>
    </border>
    <border>
      <left/>
      <right/>
      <top style="thin">
        <color rgb="FF6FAC46"/>
      </top>
      <bottom style="thin">
        <color theme="1"/>
      </bottom>
      <diagonal/>
    </border>
    <border>
      <left/>
      <right style="thin">
        <color theme="1"/>
      </right>
      <top style="thin">
        <color rgb="FF6FAC46"/>
      </top>
      <bottom style="thin">
        <color theme="1"/>
      </bottom>
      <diagonal/>
    </border>
  </borders>
  <cellStyleXfs count="2">
    <xf numFmtId="0" fontId="0" fillId="0" borderId="0"/>
    <xf numFmtId="0" fontId="2" fillId="0" borderId="0"/>
  </cellStyleXfs>
  <cellXfs count="94">
    <xf numFmtId="0" fontId="0" fillId="0" borderId="0" xfId="0" applyAlignment="1">
      <alignment horizontal="left" vertical="top"/>
    </xf>
    <xf numFmtId="0" fontId="4" fillId="2" borderId="0" xfId="0" applyFont="1" applyFill="1" applyAlignment="1">
      <alignment horizontal="left" wrapText="1"/>
    </xf>
    <xf numFmtId="0" fontId="4" fillId="0" borderId="0" xfId="0" applyFont="1" applyAlignment="1">
      <alignment horizontal="left" vertical="top"/>
    </xf>
    <xf numFmtId="2" fontId="5" fillId="2" borderId="0" xfId="0" applyNumberFormat="1" applyFont="1" applyFill="1" applyAlignment="1">
      <alignment horizontal="center" vertical="center" wrapText="1"/>
    </xf>
    <xf numFmtId="2" fontId="4" fillId="2" borderId="0" xfId="0" applyNumberFormat="1" applyFont="1" applyFill="1" applyAlignment="1">
      <alignment horizontal="center" vertical="center" shrinkToFit="1"/>
    </xf>
    <xf numFmtId="2" fontId="5" fillId="2" borderId="1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wrapText="1"/>
    </xf>
    <xf numFmtId="49" fontId="8" fillId="5" borderId="3" xfId="0" applyNumberFormat="1" applyFont="1" applyFill="1" applyBorder="1" applyAlignment="1">
      <alignment horizontal="center" vertical="center" shrinkToFit="1"/>
    </xf>
    <xf numFmtId="0" fontId="6" fillId="5" borderId="4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wrapText="1"/>
    </xf>
    <xf numFmtId="49" fontId="4" fillId="6" borderId="3" xfId="0" applyNumberFormat="1" applyFont="1" applyFill="1" applyBorder="1" applyAlignment="1">
      <alignment horizontal="center" vertical="center" shrinkToFit="1"/>
    </xf>
    <xf numFmtId="0" fontId="5" fillId="6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left" wrapText="1"/>
    </xf>
    <xf numFmtId="49" fontId="5" fillId="0" borderId="8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left" wrapText="1"/>
    </xf>
    <xf numFmtId="0" fontId="4" fillId="0" borderId="3" xfId="0" applyFont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left" wrapText="1"/>
    </xf>
    <xf numFmtId="0" fontId="6" fillId="5" borderId="6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top" wrapText="1"/>
    </xf>
    <xf numFmtId="1" fontId="8" fillId="0" borderId="4" xfId="0" applyNumberFormat="1" applyFont="1" applyBorder="1" applyAlignment="1">
      <alignment horizontal="center" vertical="center" shrinkToFit="1"/>
    </xf>
    <xf numFmtId="0" fontId="5" fillId="2" borderId="0" xfId="0" applyFont="1" applyFill="1" applyAlignment="1">
      <alignment horizontal="right" vertical="center" wrapText="1"/>
    </xf>
    <xf numFmtId="0" fontId="5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right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/>
    </xf>
    <xf numFmtId="0" fontId="11" fillId="4" borderId="5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shrinkToFit="1"/>
    </xf>
    <xf numFmtId="49" fontId="4" fillId="0" borderId="14" xfId="0" applyNumberFormat="1" applyFont="1" applyBorder="1" applyAlignment="1">
      <alignment horizontal="center" vertical="center" wrapText="1"/>
    </xf>
    <xf numFmtId="49" fontId="8" fillId="5" borderId="12" xfId="0" applyNumberFormat="1" applyFont="1" applyFill="1" applyBorder="1" applyAlignment="1">
      <alignment horizontal="center" vertical="center" shrinkToFit="1"/>
    </xf>
    <xf numFmtId="49" fontId="4" fillId="0" borderId="3" xfId="0" applyNumberFormat="1" applyFont="1" applyBorder="1" applyAlignment="1">
      <alignment horizontal="center" vertical="center" wrapText="1"/>
    </xf>
    <xf numFmtId="49" fontId="8" fillId="5" borderId="4" xfId="0" applyNumberFormat="1" applyFont="1" applyFill="1" applyBorder="1" applyAlignment="1">
      <alignment horizontal="center" vertical="center" shrinkToFit="1"/>
    </xf>
    <xf numFmtId="1" fontId="10" fillId="0" borderId="20" xfId="0" applyNumberFormat="1" applyFont="1" applyBorder="1" applyAlignment="1">
      <alignment horizontal="center" vertical="center" shrinkToFit="1"/>
    </xf>
    <xf numFmtId="1" fontId="10" fillId="0" borderId="4" xfId="0" applyNumberFormat="1" applyFont="1" applyBorder="1" applyAlignment="1">
      <alignment horizontal="center" vertical="center" shrinkToFit="1"/>
    </xf>
    <xf numFmtId="1" fontId="10" fillId="0" borderId="5" xfId="0" applyNumberFormat="1" applyFont="1" applyBorder="1" applyAlignment="1">
      <alignment horizontal="center" vertical="center" shrinkToFit="1"/>
    </xf>
    <xf numFmtId="0" fontId="4" fillId="7" borderId="20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1" fontId="4" fillId="0" borderId="20" xfId="0" applyNumberFormat="1" applyFont="1" applyBorder="1" applyAlignment="1">
      <alignment horizontal="center" vertical="center" shrinkToFit="1"/>
    </xf>
    <xf numFmtId="1" fontId="4" fillId="0" borderId="4" xfId="0" applyNumberFormat="1" applyFont="1" applyBorder="1" applyAlignment="1">
      <alignment horizontal="center" vertical="center" shrinkToFit="1"/>
    </xf>
    <xf numFmtId="1" fontId="4" fillId="0" borderId="5" xfId="0" applyNumberFormat="1" applyFont="1" applyBorder="1" applyAlignment="1">
      <alignment horizontal="center" vertical="center" shrinkToFit="1"/>
    </xf>
    <xf numFmtId="1" fontId="4" fillId="0" borderId="21" xfId="0" applyNumberFormat="1" applyFont="1" applyBorder="1" applyAlignment="1">
      <alignment horizontal="center" vertical="center" shrinkToFit="1"/>
    </xf>
    <xf numFmtId="1" fontId="4" fillId="0" borderId="10" xfId="0" applyNumberFormat="1" applyFont="1" applyBorder="1" applyAlignment="1">
      <alignment horizontal="center" vertical="center" shrinkToFit="1"/>
    </xf>
    <xf numFmtId="0" fontId="4" fillId="0" borderId="20" xfId="0" applyFont="1" applyBorder="1" applyAlignment="1">
      <alignment horizontal="center" vertical="center" wrapText="1"/>
    </xf>
    <xf numFmtId="0" fontId="4" fillId="7" borderId="22" xfId="0" applyFont="1" applyFill="1" applyBorder="1" applyAlignment="1">
      <alignment horizontal="center" vertical="center" wrapText="1"/>
    </xf>
    <xf numFmtId="0" fontId="4" fillId="7" borderId="17" xfId="0" applyFont="1" applyFill="1" applyBorder="1" applyAlignment="1">
      <alignment horizontal="center" vertical="center" wrapText="1"/>
    </xf>
    <xf numFmtId="0" fontId="4" fillId="7" borderId="18" xfId="0" applyFont="1" applyFill="1" applyBorder="1" applyAlignment="1">
      <alignment horizontal="center" vertical="center" wrapText="1"/>
    </xf>
    <xf numFmtId="1" fontId="4" fillId="0" borderId="19" xfId="0" applyNumberFormat="1" applyFont="1" applyBorder="1" applyAlignment="1">
      <alignment horizontal="center" vertical="center" shrinkToFit="1"/>
    </xf>
    <xf numFmtId="1" fontId="4" fillId="0" borderId="11" xfId="0" applyNumberFormat="1" applyFont="1" applyBorder="1" applyAlignment="1">
      <alignment horizontal="center" vertical="center" shrinkToFit="1"/>
    </xf>
    <xf numFmtId="0" fontId="4" fillId="9" borderId="2" xfId="0" applyFont="1" applyFill="1" applyBorder="1" applyAlignment="1">
      <alignment horizontal="left" vertical="top" wrapText="1"/>
    </xf>
    <xf numFmtId="49" fontId="5" fillId="10" borderId="3" xfId="0" applyNumberFormat="1" applyFont="1" applyFill="1" applyBorder="1" applyAlignment="1">
      <alignment horizontal="left" vertical="top" wrapText="1"/>
    </xf>
    <xf numFmtId="0" fontId="5" fillId="10" borderId="6" xfId="0" applyFont="1" applyFill="1" applyBorder="1" applyAlignment="1">
      <alignment horizontal="left" vertical="top" wrapText="1"/>
    </xf>
    <xf numFmtId="1" fontId="4" fillId="10" borderId="20" xfId="0" applyNumberFormat="1" applyFont="1" applyFill="1" applyBorder="1" applyAlignment="1">
      <alignment horizontal="left" vertical="top" shrinkToFit="1"/>
    </xf>
    <xf numFmtId="1" fontId="4" fillId="10" borderId="4" xfId="0" applyNumberFormat="1" applyFont="1" applyFill="1" applyBorder="1" applyAlignment="1">
      <alignment horizontal="left" vertical="top" shrinkToFit="1"/>
    </xf>
    <xf numFmtId="0" fontId="4" fillId="9" borderId="23" xfId="0" applyFont="1" applyFill="1" applyBorder="1" applyAlignment="1">
      <alignment horizontal="left" wrapText="1"/>
    </xf>
    <xf numFmtId="164" fontId="8" fillId="9" borderId="24" xfId="0" applyNumberFormat="1" applyFont="1" applyFill="1" applyBorder="1" applyAlignment="1">
      <alignment horizontal="left" vertical="top" indent="5" shrinkToFit="1"/>
    </xf>
    <xf numFmtId="49" fontId="8" fillId="9" borderId="24" xfId="0" applyNumberFormat="1" applyFont="1" applyFill="1" applyBorder="1" applyAlignment="1">
      <alignment horizontal="center" vertical="center" shrinkToFit="1"/>
    </xf>
    <xf numFmtId="0" fontId="6" fillId="9" borderId="25" xfId="0" applyFont="1" applyFill="1" applyBorder="1" applyAlignment="1">
      <alignment horizontal="center" vertical="center" wrapText="1"/>
    </xf>
    <xf numFmtId="0" fontId="4" fillId="11" borderId="26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27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left" vertical="center" wrapText="1"/>
    </xf>
    <xf numFmtId="0" fontId="4" fillId="9" borderId="29" xfId="0" applyFont="1" applyFill="1" applyBorder="1" applyAlignment="1">
      <alignment horizontal="left" vertical="top" wrapText="1"/>
    </xf>
    <xf numFmtId="1" fontId="4" fillId="10" borderId="30" xfId="0" applyNumberFormat="1" applyFont="1" applyFill="1" applyBorder="1" applyAlignment="1">
      <alignment horizontal="left" vertical="top" shrinkToFit="1"/>
    </xf>
    <xf numFmtId="0" fontId="4" fillId="9" borderId="31" xfId="0" applyFont="1" applyFill="1" applyBorder="1" applyAlignment="1">
      <alignment horizontal="left" vertical="top" wrapText="1"/>
    </xf>
    <xf numFmtId="0" fontId="4" fillId="9" borderId="32" xfId="0" applyFont="1" applyFill="1" applyBorder="1" applyAlignment="1">
      <alignment horizontal="left" vertical="top" wrapText="1"/>
    </xf>
    <xf numFmtId="0" fontId="4" fillId="10" borderId="33" xfId="0" applyFont="1" applyFill="1" applyBorder="1" applyAlignment="1">
      <alignment horizontal="left" vertical="top" wrapText="1"/>
    </xf>
    <xf numFmtId="0" fontId="4" fillId="10" borderId="34" xfId="0" applyFont="1" applyFill="1" applyBorder="1" applyAlignment="1">
      <alignment horizontal="left" vertical="top" wrapText="1"/>
    </xf>
    <xf numFmtId="0" fontId="4" fillId="10" borderId="35" xfId="0" applyFont="1" applyFill="1" applyBorder="1" applyAlignment="1">
      <alignment horizontal="left" vertical="top" wrapText="1"/>
    </xf>
    <xf numFmtId="0" fontId="4" fillId="10" borderId="36" xfId="0" applyFont="1" applyFill="1" applyBorder="1" applyAlignment="1">
      <alignment horizontal="left" vertical="top" wrapText="1"/>
    </xf>
    <xf numFmtId="0" fontId="4" fillId="10" borderId="37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2" borderId="0" xfId="0" applyFont="1" applyFill="1" applyAlignment="1">
      <alignment horizontal="right" vertical="center" wrapText="1"/>
    </xf>
    <xf numFmtId="0" fontId="6" fillId="2" borderId="0" xfId="0" applyFont="1" applyFill="1" applyAlignment="1">
      <alignment horizontal="right" vertical="center" wrapText="1"/>
    </xf>
  </cellXfs>
  <cellStyles count="2">
    <cellStyle name="Обычный" xfId="0" builtinId="0"/>
    <cellStyle name="Обычный 2" xfId="1" xr:uid="{3914B554-0CD0-48D5-B962-EE980D185C9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9"/>
  <sheetViews>
    <sheetView tabSelected="1" zoomScale="89" zoomScaleNormal="40" workbookViewId="0">
      <selection activeCell="F70" sqref="F70"/>
    </sheetView>
  </sheetViews>
  <sheetFormatPr defaultRowHeight="12.75" x14ac:dyDescent="0.2"/>
  <cols>
    <col min="1" max="1" width="14" customWidth="1"/>
    <col min="2" max="2" width="8.6640625" customWidth="1"/>
    <col min="3" max="3" width="8" customWidth="1"/>
    <col min="4" max="4" width="84.6640625" customWidth="1"/>
    <col min="5" max="5" width="16.33203125" customWidth="1"/>
    <col min="6" max="6" width="16" customWidth="1"/>
    <col min="7" max="7" width="16.1640625" customWidth="1"/>
    <col min="8" max="9" width="15.6640625" customWidth="1"/>
  </cols>
  <sheetData>
    <row r="1" spans="1:10" ht="30.6" customHeight="1" x14ac:dyDescent="0.25">
      <c r="A1" s="90"/>
      <c r="B1" s="90"/>
      <c r="C1" s="90"/>
      <c r="D1" s="1"/>
      <c r="E1" s="1"/>
      <c r="F1" s="37" t="s">
        <v>7</v>
      </c>
      <c r="G1" s="37" t="s">
        <v>8</v>
      </c>
      <c r="H1" s="2"/>
      <c r="I1" s="2"/>
      <c r="J1" s="2"/>
    </row>
    <row r="2" spans="1:10" ht="30.6" customHeight="1" x14ac:dyDescent="0.2">
      <c r="A2" s="90"/>
      <c r="B2" s="90"/>
      <c r="C2" s="90"/>
      <c r="D2" s="38"/>
      <c r="E2" s="36" t="s">
        <v>43</v>
      </c>
      <c r="F2" s="3">
        <f>E71</f>
        <v>276</v>
      </c>
      <c r="G2" s="3">
        <f>G71</f>
        <v>1068</v>
      </c>
      <c r="H2" s="2"/>
      <c r="I2" s="2"/>
      <c r="J2" s="2"/>
    </row>
    <row r="3" spans="1:10" ht="30.6" customHeight="1" x14ac:dyDescent="0.2">
      <c r="A3" s="90"/>
      <c r="B3" s="90"/>
      <c r="C3" s="90"/>
      <c r="D3" s="92" t="s">
        <v>49</v>
      </c>
      <c r="E3" s="92"/>
      <c r="F3" s="3">
        <f>F2/8</f>
        <v>34.5</v>
      </c>
      <c r="G3" s="3">
        <f>G2/8</f>
        <v>133.5</v>
      </c>
      <c r="H3" s="2"/>
      <c r="I3" s="2"/>
      <c r="J3" s="2"/>
    </row>
    <row r="4" spans="1:10" ht="30.6" customHeight="1" x14ac:dyDescent="0.2">
      <c r="A4" s="90"/>
      <c r="B4" s="90"/>
      <c r="C4" s="90"/>
      <c r="D4" s="92" t="s">
        <v>9</v>
      </c>
      <c r="E4" s="92"/>
      <c r="F4" s="3">
        <f>F3/22</f>
        <v>1.5681818181818181</v>
      </c>
      <c r="G4" s="3">
        <f>G3/22</f>
        <v>6.0681818181818183</v>
      </c>
      <c r="H4" s="2"/>
      <c r="I4" s="2"/>
      <c r="J4" s="2"/>
    </row>
    <row r="5" spans="1:10" ht="27.6" customHeight="1" x14ac:dyDescent="0.2">
      <c r="A5" s="90"/>
      <c r="B5" s="90"/>
      <c r="C5" s="90"/>
      <c r="D5" s="92" t="s">
        <v>6</v>
      </c>
      <c r="E5" s="92"/>
      <c r="F5" s="3">
        <f>F4/2</f>
        <v>0.78409090909090906</v>
      </c>
      <c r="G5" s="3">
        <f>G4/2</f>
        <v>3.0340909090909092</v>
      </c>
      <c r="H5" s="2"/>
      <c r="I5" s="2"/>
      <c r="J5" s="2"/>
    </row>
    <row r="6" spans="1:10" ht="30.6" customHeight="1" x14ac:dyDescent="0.2">
      <c r="A6" s="91"/>
      <c r="B6" s="91"/>
      <c r="C6" s="91"/>
      <c r="D6" s="92" t="s">
        <v>10</v>
      </c>
      <c r="E6" s="92"/>
      <c r="F6" s="4">
        <v>300</v>
      </c>
      <c r="G6" s="4">
        <v>350</v>
      </c>
      <c r="H6" s="2"/>
      <c r="I6" s="2"/>
      <c r="J6" s="2"/>
    </row>
    <row r="7" spans="1:10" ht="30.6" customHeight="1" x14ac:dyDescent="0.2">
      <c r="D7" s="93" t="s">
        <v>11</v>
      </c>
      <c r="E7" s="93"/>
      <c r="F7" s="5">
        <f>F6*H71</f>
        <v>201600</v>
      </c>
      <c r="G7" s="5">
        <f>G6*H71</f>
        <v>235200</v>
      </c>
      <c r="H7" s="2"/>
      <c r="I7" s="2"/>
      <c r="J7" s="2"/>
    </row>
    <row r="8" spans="1:10" ht="30" customHeight="1" x14ac:dyDescent="0.2">
      <c r="A8" s="6" t="s">
        <v>37</v>
      </c>
      <c r="B8" s="7" t="s">
        <v>12</v>
      </c>
      <c r="C8" s="8" t="s">
        <v>38</v>
      </c>
      <c r="D8" s="44" t="s">
        <v>46</v>
      </c>
      <c r="E8" s="44" t="s">
        <v>44</v>
      </c>
      <c r="F8" s="44" t="s">
        <v>47</v>
      </c>
      <c r="G8" s="43" t="s">
        <v>48</v>
      </c>
      <c r="H8" s="44" t="s">
        <v>45</v>
      </c>
      <c r="I8" s="2"/>
      <c r="J8" s="2"/>
    </row>
    <row r="9" spans="1:10" ht="30" customHeight="1" x14ac:dyDescent="0.25">
      <c r="A9" s="9"/>
      <c r="B9" s="9"/>
      <c r="C9" s="10" t="s">
        <v>2</v>
      </c>
      <c r="D9" s="11" t="s">
        <v>13</v>
      </c>
      <c r="E9" s="39"/>
      <c r="F9" s="40"/>
      <c r="G9" s="41"/>
      <c r="H9" s="2"/>
      <c r="I9" s="2"/>
      <c r="J9" s="2"/>
    </row>
    <row r="10" spans="1:10" ht="30" customHeight="1" x14ac:dyDescent="0.25">
      <c r="A10" s="12"/>
      <c r="B10" s="12"/>
      <c r="C10" s="13" t="s">
        <v>50</v>
      </c>
      <c r="D10" s="14" t="s">
        <v>77</v>
      </c>
      <c r="E10" s="15"/>
      <c r="F10" s="15"/>
      <c r="G10" s="15"/>
      <c r="H10" s="2"/>
      <c r="I10" s="2"/>
      <c r="J10" s="2"/>
    </row>
    <row r="11" spans="1:10" ht="30" customHeight="1" x14ac:dyDescent="0.25">
      <c r="A11" s="16"/>
      <c r="B11" s="16"/>
      <c r="C11" s="17" t="s">
        <v>14</v>
      </c>
      <c r="D11" s="18" t="s">
        <v>78</v>
      </c>
      <c r="E11" s="50">
        <v>4</v>
      </c>
      <c r="F11" s="51">
        <v>8</v>
      </c>
      <c r="G11" s="52">
        <v>12</v>
      </c>
      <c r="H11" s="42">
        <f>(E11 + 4*F11 + G11)/6</f>
        <v>8</v>
      </c>
      <c r="I11" s="2"/>
      <c r="J11" s="2"/>
    </row>
    <row r="12" spans="1:10" ht="30" customHeight="1" x14ac:dyDescent="0.2">
      <c r="A12" s="19"/>
      <c r="B12" s="19"/>
      <c r="C12" s="17" t="s">
        <v>15</v>
      </c>
      <c r="D12" s="18" t="s">
        <v>79</v>
      </c>
      <c r="E12" s="50">
        <v>2</v>
      </c>
      <c r="F12" s="51">
        <v>4</v>
      </c>
      <c r="G12" s="52">
        <v>8</v>
      </c>
      <c r="H12" s="42">
        <f>(E12 + 4*F12 + G12)/6</f>
        <v>4.333333333333333</v>
      </c>
      <c r="J12" s="2"/>
    </row>
    <row r="13" spans="1:10" ht="30" customHeight="1" x14ac:dyDescent="0.2">
      <c r="A13" s="19"/>
      <c r="B13" s="19"/>
      <c r="C13" s="17" t="s">
        <v>16</v>
      </c>
      <c r="D13" s="18" t="s">
        <v>80</v>
      </c>
      <c r="E13" s="50">
        <v>3</v>
      </c>
      <c r="F13" s="51">
        <v>3</v>
      </c>
      <c r="G13" s="52">
        <v>10</v>
      </c>
      <c r="H13" s="42">
        <f t="shared" ref="H13:H61" si="0">(E13 + 4*F13 + G13)/6</f>
        <v>4.166666666666667</v>
      </c>
      <c r="J13" s="2"/>
    </row>
    <row r="14" spans="1:10" ht="30" customHeight="1" x14ac:dyDescent="0.2">
      <c r="A14" s="19"/>
      <c r="B14" s="19"/>
      <c r="C14" s="17" t="s">
        <v>17</v>
      </c>
      <c r="D14" s="18" t="s">
        <v>81</v>
      </c>
      <c r="E14" s="50">
        <v>2</v>
      </c>
      <c r="F14" s="51">
        <v>7</v>
      </c>
      <c r="G14" s="52">
        <v>10</v>
      </c>
      <c r="H14" s="42">
        <f>(E14 + 4*F14 + G14)/6</f>
        <v>6.666666666666667</v>
      </c>
      <c r="J14" s="2"/>
    </row>
    <row r="15" spans="1:10" ht="30" customHeight="1" x14ac:dyDescent="0.2">
      <c r="A15" s="19"/>
      <c r="B15" s="19"/>
      <c r="C15" s="17" t="s">
        <v>18</v>
      </c>
      <c r="D15" s="18" t="s">
        <v>82</v>
      </c>
      <c r="E15" s="50">
        <v>3</v>
      </c>
      <c r="F15" s="51">
        <v>9</v>
      </c>
      <c r="G15" s="52">
        <v>16</v>
      </c>
      <c r="H15" s="42">
        <f>(E15 + 4*F15 + G15)/6</f>
        <v>9.1666666666666661</v>
      </c>
      <c r="J15" s="2"/>
    </row>
    <row r="16" spans="1:10" ht="30" customHeight="1" x14ac:dyDescent="0.2">
      <c r="A16" s="20" t="s">
        <v>0</v>
      </c>
      <c r="B16" s="20"/>
      <c r="C16" s="13" t="s">
        <v>51</v>
      </c>
      <c r="D16" s="14" t="s">
        <v>83</v>
      </c>
      <c r="E16" s="15"/>
      <c r="F16" s="15"/>
      <c r="G16" s="15"/>
      <c r="H16" s="42"/>
      <c r="J16" s="2"/>
    </row>
    <row r="17" spans="1:10" ht="30" customHeight="1" x14ac:dyDescent="0.2">
      <c r="A17" s="19"/>
      <c r="B17" s="19"/>
      <c r="C17" s="17" t="s">
        <v>19</v>
      </c>
      <c r="D17" s="21" t="s">
        <v>84</v>
      </c>
      <c r="E17" s="50">
        <v>8</v>
      </c>
      <c r="F17" s="51">
        <v>19</v>
      </c>
      <c r="G17" s="52">
        <v>36</v>
      </c>
      <c r="H17" s="42">
        <f>(E17 + 4*F17 + G17)/6</f>
        <v>20</v>
      </c>
      <c r="J17" s="2"/>
    </row>
    <row r="18" spans="1:10" ht="30" customHeight="1" x14ac:dyDescent="0.2">
      <c r="A18" s="19"/>
      <c r="B18" s="19"/>
      <c r="C18" s="17" t="s">
        <v>20</v>
      </c>
      <c r="D18" s="21" t="s">
        <v>85</v>
      </c>
      <c r="E18" s="50">
        <v>6</v>
      </c>
      <c r="F18" s="51">
        <v>16</v>
      </c>
      <c r="G18" s="52">
        <v>27</v>
      </c>
      <c r="H18" s="42">
        <f>(E18 + 4*F18 + G18)/6</f>
        <v>16.166666666666668</v>
      </c>
      <c r="J18" s="2"/>
    </row>
    <row r="19" spans="1:10" ht="30" customHeight="1" x14ac:dyDescent="0.2">
      <c r="A19" s="19"/>
      <c r="B19" s="19"/>
      <c r="C19" s="17" t="s">
        <v>21</v>
      </c>
      <c r="D19" s="21" t="s">
        <v>86</v>
      </c>
      <c r="E19" s="50">
        <v>4</v>
      </c>
      <c r="F19" s="51">
        <v>9</v>
      </c>
      <c r="G19" s="52">
        <v>18</v>
      </c>
      <c r="H19" s="42">
        <f t="shared" si="0"/>
        <v>9.6666666666666661</v>
      </c>
      <c r="J19" s="2"/>
    </row>
    <row r="20" spans="1:10" ht="30" customHeight="1" x14ac:dyDescent="0.2">
      <c r="A20" s="19"/>
      <c r="B20" s="19"/>
      <c r="C20" s="17" t="s">
        <v>22</v>
      </c>
      <c r="D20" s="21" t="s">
        <v>89</v>
      </c>
      <c r="E20" s="50">
        <v>4</v>
      </c>
      <c r="F20" s="51">
        <v>6</v>
      </c>
      <c r="G20" s="52">
        <v>20</v>
      </c>
      <c r="H20" s="42">
        <f t="shared" si="0"/>
        <v>8</v>
      </c>
      <c r="J20" s="2"/>
    </row>
    <row r="21" spans="1:10" ht="30" customHeight="1" x14ac:dyDescent="0.25">
      <c r="A21" s="12"/>
      <c r="B21" s="12"/>
      <c r="C21" s="13" t="s">
        <v>52</v>
      </c>
      <c r="D21" s="14" t="s">
        <v>87</v>
      </c>
      <c r="E21" s="56"/>
      <c r="F21" s="56"/>
      <c r="G21" s="56"/>
      <c r="H21" s="42"/>
      <c r="J21" s="2"/>
    </row>
    <row r="22" spans="1:10" ht="30" customHeight="1" x14ac:dyDescent="0.25">
      <c r="A22" s="16"/>
      <c r="B22" s="16"/>
      <c r="C22" s="17" t="s">
        <v>23</v>
      </c>
      <c r="D22" s="21" t="s">
        <v>88</v>
      </c>
      <c r="E22" s="50">
        <v>10</v>
      </c>
      <c r="F22" s="51">
        <v>20</v>
      </c>
      <c r="G22" s="52">
        <v>42</v>
      </c>
      <c r="H22" s="42">
        <f t="shared" si="0"/>
        <v>22</v>
      </c>
      <c r="J22" s="2"/>
    </row>
    <row r="23" spans="1:10" ht="30" customHeight="1" x14ac:dyDescent="0.2">
      <c r="A23" s="19"/>
      <c r="B23" s="19"/>
      <c r="C23" s="17" t="s">
        <v>24</v>
      </c>
      <c r="D23" s="21" t="s">
        <v>90</v>
      </c>
      <c r="E23" s="50">
        <v>12</v>
      </c>
      <c r="F23" s="51">
        <v>25</v>
      </c>
      <c r="G23" s="52">
        <v>54</v>
      </c>
      <c r="H23" s="42">
        <f t="shared" si="0"/>
        <v>27.666666666666668</v>
      </c>
      <c r="J23" s="2"/>
    </row>
    <row r="24" spans="1:10" ht="30" customHeight="1" x14ac:dyDescent="0.2">
      <c r="A24" s="19"/>
      <c r="B24" s="19"/>
      <c r="C24" s="17" t="s">
        <v>25</v>
      </c>
      <c r="D24" s="21" t="s">
        <v>91</v>
      </c>
      <c r="E24" s="50">
        <v>6</v>
      </c>
      <c r="F24" s="51">
        <v>15</v>
      </c>
      <c r="G24" s="52">
        <v>27</v>
      </c>
      <c r="H24" s="42">
        <f t="shared" si="0"/>
        <v>15.5</v>
      </c>
      <c r="J24" s="2"/>
    </row>
    <row r="25" spans="1:10" ht="30" customHeight="1" x14ac:dyDescent="0.25">
      <c r="A25" s="12"/>
      <c r="B25" s="12"/>
      <c r="C25" s="13" t="s">
        <v>53</v>
      </c>
      <c r="D25" s="14" t="s">
        <v>92</v>
      </c>
      <c r="E25" s="56"/>
      <c r="F25" s="56"/>
      <c r="G25" s="56"/>
      <c r="H25" s="42"/>
      <c r="J25" s="2"/>
    </row>
    <row r="26" spans="1:10" ht="30" customHeight="1" x14ac:dyDescent="0.2">
      <c r="A26" s="19"/>
      <c r="B26" s="19"/>
      <c r="C26" s="17" t="s">
        <v>26</v>
      </c>
      <c r="D26" s="21" t="s">
        <v>93</v>
      </c>
      <c r="E26" s="50">
        <v>6</v>
      </c>
      <c r="F26" s="51">
        <v>15</v>
      </c>
      <c r="G26" s="52">
        <v>27</v>
      </c>
      <c r="H26" s="42">
        <f t="shared" si="0"/>
        <v>15.5</v>
      </c>
      <c r="J26" s="2"/>
    </row>
    <row r="27" spans="1:10" ht="30" customHeight="1" x14ac:dyDescent="0.2">
      <c r="A27" s="19"/>
      <c r="B27" s="19"/>
      <c r="C27" s="17" t="s">
        <v>27</v>
      </c>
      <c r="D27" s="21" t="s">
        <v>94</v>
      </c>
      <c r="E27" s="50">
        <v>5</v>
      </c>
      <c r="F27" s="51">
        <v>9</v>
      </c>
      <c r="G27" s="52">
        <v>22</v>
      </c>
      <c r="H27" s="42">
        <f t="shared" si="0"/>
        <v>10.5</v>
      </c>
      <c r="J27" s="2"/>
    </row>
    <row r="28" spans="1:10" ht="30" customHeight="1" x14ac:dyDescent="0.2">
      <c r="A28" s="19"/>
      <c r="B28" s="19"/>
      <c r="C28" s="17" t="s">
        <v>28</v>
      </c>
      <c r="D28" s="21" t="s">
        <v>95</v>
      </c>
      <c r="E28" s="50">
        <v>3</v>
      </c>
      <c r="F28" s="51">
        <v>8</v>
      </c>
      <c r="G28" s="52">
        <v>14</v>
      </c>
      <c r="H28" s="42">
        <f t="shared" si="0"/>
        <v>8.1666666666666661</v>
      </c>
      <c r="J28" s="2"/>
    </row>
    <row r="29" spans="1:10" ht="30" customHeight="1" x14ac:dyDescent="0.25">
      <c r="A29" s="12"/>
      <c r="B29" s="12"/>
      <c r="C29" s="13" t="s">
        <v>54</v>
      </c>
      <c r="D29" s="14" t="s">
        <v>96</v>
      </c>
      <c r="E29" s="56"/>
      <c r="F29" s="56"/>
      <c r="G29" s="56"/>
      <c r="H29" s="42"/>
      <c r="J29" s="2"/>
    </row>
    <row r="30" spans="1:10" ht="30" customHeight="1" x14ac:dyDescent="0.2">
      <c r="A30" s="19"/>
      <c r="B30" s="19"/>
      <c r="C30" s="17" t="s">
        <v>29</v>
      </c>
      <c r="D30" s="22" t="s">
        <v>97</v>
      </c>
      <c r="E30" s="57">
        <v>8</v>
      </c>
      <c r="F30" s="58">
        <v>19</v>
      </c>
      <c r="G30" s="59">
        <v>36</v>
      </c>
      <c r="H30" s="42">
        <f t="shared" si="0"/>
        <v>20</v>
      </c>
      <c r="J30" s="2"/>
    </row>
    <row r="31" spans="1:10" ht="30" customHeight="1" x14ac:dyDescent="0.25">
      <c r="A31" s="23"/>
      <c r="B31" s="23"/>
      <c r="C31" s="13" t="s">
        <v>55</v>
      </c>
      <c r="D31" s="14" t="s">
        <v>98</v>
      </c>
      <c r="E31" s="56"/>
      <c r="F31" s="56"/>
      <c r="G31" s="56"/>
      <c r="H31" s="42"/>
      <c r="J31" s="2"/>
    </row>
    <row r="32" spans="1:10" ht="30" customHeight="1" x14ac:dyDescent="0.25">
      <c r="A32" s="16"/>
      <c r="B32" s="16"/>
      <c r="C32" s="24" t="s">
        <v>30</v>
      </c>
      <c r="D32" s="25" t="s">
        <v>99</v>
      </c>
      <c r="E32" s="60">
        <v>4</v>
      </c>
      <c r="F32" s="61">
        <v>8</v>
      </c>
      <c r="G32" s="59">
        <v>18</v>
      </c>
      <c r="H32" s="42">
        <f t="shared" si="0"/>
        <v>9</v>
      </c>
      <c r="J32" s="2"/>
    </row>
    <row r="33" spans="1:10" ht="30" customHeight="1" x14ac:dyDescent="0.2">
      <c r="A33" s="19"/>
      <c r="B33" s="19"/>
      <c r="C33" s="17" t="s">
        <v>31</v>
      </c>
      <c r="D33" s="22" t="s">
        <v>100</v>
      </c>
      <c r="E33" s="57">
        <v>3</v>
      </c>
      <c r="F33" s="58">
        <v>5</v>
      </c>
      <c r="G33" s="59">
        <v>14</v>
      </c>
      <c r="H33" s="42">
        <f t="shared" si="0"/>
        <v>6.166666666666667</v>
      </c>
      <c r="J33" s="2"/>
    </row>
    <row r="34" spans="1:10" ht="30" customHeight="1" x14ac:dyDescent="0.2">
      <c r="A34" s="20"/>
      <c r="B34" s="20"/>
      <c r="C34" s="13" t="s">
        <v>56</v>
      </c>
      <c r="D34" s="14" t="s">
        <v>102</v>
      </c>
      <c r="E34" s="56"/>
      <c r="F34" s="56"/>
      <c r="G34" s="56"/>
      <c r="H34" s="42"/>
      <c r="J34" s="2"/>
    </row>
    <row r="35" spans="1:10" ht="30" customHeight="1" x14ac:dyDescent="0.2">
      <c r="A35" s="19"/>
      <c r="B35" s="19"/>
      <c r="C35" s="17" t="s">
        <v>32</v>
      </c>
      <c r="D35" s="21" t="s">
        <v>101</v>
      </c>
      <c r="E35" s="57">
        <v>4</v>
      </c>
      <c r="F35" s="58">
        <v>9</v>
      </c>
      <c r="G35" s="59">
        <v>18</v>
      </c>
      <c r="H35" s="42">
        <f t="shared" si="0"/>
        <v>9.6666666666666661</v>
      </c>
      <c r="J35" s="2"/>
    </row>
    <row r="36" spans="1:10" ht="30" customHeight="1" x14ac:dyDescent="0.2">
      <c r="A36" s="80"/>
      <c r="B36" s="80"/>
      <c r="C36" s="24" t="s">
        <v>42</v>
      </c>
      <c r="D36" s="25" t="s">
        <v>103</v>
      </c>
      <c r="E36" s="60">
        <v>4</v>
      </c>
      <c r="F36" s="61">
        <v>9</v>
      </c>
      <c r="G36" s="67">
        <v>18</v>
      </c>
      <c r="H36" s="42">
        <f t="shared" si="0"/>
        <v>9.6666666666666661</v>
      </c>
      <c r="J36" s="2"/>
    </row>
    <row r="37" spans="1:10" ht="20.100000000000001" customHeight="1" x14ac:dyDescent="0.2">
      <c r="A37" s="81"/>
      <c r="B37" s="68"/>
      <c r="C37" s="69"/>
      <c r="D37" s="70"/>
      <c r="E37" s="71"/>
      <c r="F37" s="72"/>
      <c r="G37" s="82"/>
      <c r="H37" s="42"/>
      <c r="J37" s="2"/>
    </row>
    <row r="38" spans="1:10" ht="30" customHeight="1" x14ac:dyDescent="0.2">
      <c r="A38" s="83"/>
      <c r="B38" s="84"/>
      <c r="C38" s="85"/>
      <c r="D38" s="86"/>
      <c r="E38" s="87"/>
      <c r="F38" s="88"/>
      <c r="G38" s="89"/>
      <c r="H38" s="42"/>
      <c r="J38" s="2"/>
    </row>
    <row r="39" spans="1:10" ht="30" customHeight="1" x14ac:dyDescent="0.25">
      <c r="A39" s="73"/>
      <c r="B39" s="74">
        <v>2</v>
      </c>
      <c r="C39" s="75" t="s">
        <v>3</v>
      </c>
      <c r="D39" s="76" t="s">
        <v>1</v>
      </c>
      <c r="E39" s="77"/>
      <c r="F39" s="78"/>
      <c r="G39" s="79"/>
      <c r="H39" s="42"/>
      <c r="J39" s="2"/>
    </row>
    <row r="40" spans="1:10" ht="30" customHeight="1" x14ac:dyDescent="0.25">
      <c r="A40" s="16"/>
      <c r="B40" s="16"/>
      <c r="C40" s="45" t="s">
        <v>57</v>
      </c>
      <c r="D40" s="21" t="s">
        <v>104</v>
      </c>
      <c r="E40" s="57">
        <v>6</v>
      </c>
      <c r="F40" s="58">
        <v>18</v>
      </c>
      <c r="G40" s="59">
        <v>27</v>
      </c>
      <c r="H40" s="42">
        <f t="shared" si="0"/>
        <v>17.5</v>
      </c>
      <c r="J40" s="2"/>
    </row>
    <row r="41" spans="1:10" ht="30" customHeight="1" x14ac:dyDescent="0.25">
      <c r="A41" s="16"/>
      <c r="B41" s="16"/>
      <c r="C41" s="45" t="s">
        <v>58</v>
      </c>
      <c r="D41" s="21" t="s">
        <v>4</v>
      </c>
      <c r="E41" s="57">
        <v>5</v>
      </c>
      <c r="F41" s="58">
        <v>16</v>
      </c>
      <c r="G41" s="59">
        <v>22</v>
      </c>
      <c r="H41" s="42">
        <f t="shared" si="0"/>
        <v>15.166666666666666</v>
      </c>
      <c r="J41" s="2"/>
    </row>
    <row r="42" spans="1:10" ht="30" customHeight="1" x14ac:dyDescent="0.25">
      <c r="A42" s="16"/>
      <c r="B42" s="16"/>
      <c r="C42" s="45" t="s">
        <v>59</v>
      </c>
      <c r="D42" s="21" t="s">
        <v>39</v>
      </c>
      <c r="E42" s="57">
        <v>4</v>
      </c>
      <c r="F42" s="58">
        <v>12</v>
      </c>
      <c r="G42" s="59">
        <v>18</v>
      </c>
      <c r="H42" s="42">
        <f t="shared" si="0"/>
        <v>11.666666666666666</v>
      </c>
      <c r="J42" s="2"/>
    </row>
    <row r="43" spans="1:10" ht="30" customHeight="1" x14ac:dyDescent="0.25">
      <c r="A43" s="16"/>
      <c r="B43" s="16"/>
      <c r="C43" s="45" t="s">
        <v>60</v>
      </c>
      <c r="D43" s="21" t="s">
        <v>5</v>
      </c>
      <c r="E43" s="57">
        <v>4</v>
      </c>
      <c r="F43" s="58">
        <v>12</v>
      </c>
      <c r="G43" s="59">
        <v>18</v>
      </c>
      <c r="H43" s="42">
        <f t="shared" si="0"/>
        <v>11.666666666666666</v>
      </c>
      <c r="J43" s="2"/>
    </row>
    <row r="44" spans="1:10" ht="20.100000000000001" customHeight="1" x14ac:dyDescent="0.25">
      <c r="A44" s="16"/>
      <c r="B44" s="16"/>
      <c r="C44" s="45" t="s">
        <v>61</v>
      </c>
      <c r="D44" s="21" t="s">
        <v>40</v>
      </c>
      <c r="E44" s="57">
        <v>2</v>
      </c>
      <c r="F44" s="58">
        <v>6</v>
      </c>
      <c r="G44" s="59">
        <v>9</v>
      </c>
      <c r="H44" s="42">
        <f t="shared" si="0"/>
        <v>5.833333333333333</v>
      </c>
      <c r="J44" s="2"/>
    </row>
    <row r="45" spans="1:10" ht="30" customHeight="1" x14ac:dyDescent="0.25">
      <c r="A45" s="16"/>
      <c r="B45" s="16"/>
      <c r="C45" s="46"/>
      <c r="D45" s="26"/>
      <c r="E45" s="62"/>
      <c r="F45" s="27"/>
      <c r="G45" s="28"/>
      <c r="H45" s="42"/>
      <c r="J45" s="2"/>
    </row>
    <row r="46" spans="1:10" ht="30" customHeight="1" x14ac:dyDescent="0.25">
      <c r="A46" s="9"/>
      <c r="B46" s="9"/>
      <c r="C46" s="47">
        <v>3</v>
      </c>
      <c r="D46" s="29" t="s">
        <v>33</v>
      </c>
      <c r="E46" s="53"/>
      <c r="F46" s="54"/>
      <c r="G46" s="55"/>
      <c r="H46" s="42"/>
      <c r="J46" s="2"/>
    </row>
    <row r="47" spans="1:10" ht="30" customHeight="1" x14ac:dyDescent="0.25">
      <c r="A47" s="16"/>
      <c r="B47" s="16"/>
      <c r="C47" s="45" t="s">
        <v>62</v>
      </c>
      <c r="D47" s="21" t="s">
        <v>105</v>
      </c>
      <c r="E47" s="57">
        <v>5</v>
      </c>
      <c r="F47" s="58">
        <v>12</v>
      </c>
      <c r="G47" s="59">
        <v>22</v>
      </c>
      <c r="H47" s="42">
        <f t="shared" si="0"/>
        <v>12.5</v>
      </c>
      <c r="J47" s="2"/>
    </row>
    <row r="48" spans="1:10" ht="30" customHeight="1" x14ac:dyDescent="0.25">
      <c r="A48" s="16"/>
      <c r="B48" s="16"/>
      <c r="C48" s="45" t="s">
        <v>63</v>
      </c>
      <c r="D48" s="21" t="s">
        <v>106</v>
      </c>
      <c r="E48" s="57">
        <v>4</v>
      </c>
      <c r="F48" s="58">
        <v>11</v>
      </c>
      <c r="G48" s="59">
        <v>18</v>
      </c>
      <c r="H48" s="42">
        <f t="shared" si="0"/>
        <v>11</v>
      </c>
      <c r="J48" s="2"/>
    </row>
    <row r="49" spans="1:10" ht="30" customHeight="1" x14ac:dyDescent="0.25">
      <c r="A49" s="16"/>
      <c r="B49" s="16"/>
      <c r="C49" s="45" t="s">
        <v>64</v>
      </c>
      <c r="D49" s="21" t="s">
        <v>41</v>
      </c>
      <c r="E49" s="57">
        <v>4</v>
      </c>
      <c r="F49" s="58">
        <v>19</v>
      </c>
      <c r="G49" s="59">
        <v>18</v>
      </c>
      <c r="H49" s="42">
        <f t="shared" si="0"/>
        <v>16.333333333333332</v>
      </c>
      <c r="J49" s="2"/>
    </row>
    <row r="50" spans="1:10" ht="20.100000000000001" customHeight="1" x14ac:dyDescent="0.25">
      <c r="A50" s="16"/>
      <c r="B50" s="16"/>
      <c r="C50" s="45" t="s">
        <v>65</v>
      </c>
      <c r="D50" s="21" t="s">
        <v>107</v>
      </c>
      <c r="E50" s="57">
        <v>2</v>
      </c>
      <c r="F50" s="58">
        <v>12</v>
      </c>
      <c r="G50" s="59">
        <v>9</v>
      </c>
      <c r="H50" s="42">
        <f t="shared" si="0"/>
        <v>9.8333333333333339</v>
      </c>
      <c r="J50" s="2"/>
    </row>
    <row r="51" spans="1:10" ht="30" customHeight="1" x14ac:dyDescent="0.25">
      <c r="A51" s="16"/>
      <c r="B51" s="16"/>
      <c r="C51" s="46"/>
      <c r="D51" s="26"/>
      <c r="E51" s="62"/>
      <c r="F51" s="27"/>
      <c r="G51" s="28"/>
      <c r="H51" s="42"/>
      <c r="J51" s="2"/>
    </row>
    <row r="52" spans="1:10" ht="30" customHeight="1" x14ac:dyDescent="0.25">
      <c r="A52" s="9"/>
      <c r="B52" s="9"/>
      <c r="C52" s="47">
        <v>4</v>
      </c>
      <c r="D52" s="29" t="s">
        <v>108</v>
      </c>
      <c r="E52" s="63"/>
      <c r="F52" s="64"/>
      <c r="G52" s="65"/>
      <c r="H52" s="42"/>
      <c r="J52" s="2"/>
    </row>
    <row r="53" spans="1:10" ht="30" customHeight="1" x14ac:dyDescent="0.25">
      <c r="A53" s="16"/>
      <c r="B53" s="16"/>
      <c r="C53" s="45" t="s">
        <v>66</v>
      </c>
      <c r="D53" s="21" t="s">
        <v>109</v>
      </c>
      <c r="E53" s="57">
        <v>2</v>
      </c>
      <c r="F53" s="58">
        <v>10</v>
      </c>
      <c r="G53" s="66">
        <v>10</v>
      </c>
      <c r="H53" s="42">
        <f t="shared" si="0"/>
        <v>8.6666666666666661</v>
      </c>
      <c r="J53" s="2"/>
    </row>
    <row r="54" spans="1:10" ht="30" customHeight="1" x14ac:dyDescent="0.25">
      <c r="A54" s="16"/>
      <c r="B54" s="16"/>
      <c r="C54" s="45" t="s">
        <v>67</v>
      </c>
      <c r="D54" s="21" t="s">
        <v>110</v>
      </c>
      <c r="E54" s="57">
        <v>5</v>
      </c>
      <c r="F54" s="58">
        <v>18</v>
      </c>
      <c r="G54" s="66">
        <v>22</v>
      </c>
      <c r="H54" s="42">
        <f t="shared" si="0"/>
        <v>16.5</v>
      </c>
      <c r="J54" s="2"/>
    </row>
    <row r="55" spans="1:10" ht="20.100000000000001" customHeight="1" x14ac:dyDescent="0.25">
      <c r="A55" s="16"/>
      <c r="B55" s="16"/>
      <c r="C55" s="45" t="s">
        <v>68</v>
      </c>
      <c r="D55" s="21" t="s">
        <v>111</v>
      </c>
      <c r="E55" s="57">
        <v>3</v>
      </c>
      <c r="F55" s="58">
        <v>16</v>
      </c>
      <c r="G55" s="66">
        <v>14</v>
      </c>
      <c r="H55" s="42">
        <f t="shared" si="0"/>
        <v>13.5</v>
      </c>
      <c r="J55" s="2"/>
    </row>
    <row r="56" spans="1:10" ht="30" customHeight="1" x14ac:dyDescent="0.25">
      <c r="A56" s="16"/>
      <c r="B56" s="30"/>
      <c r="C56" s="48"/>
      <c r="D56" s="22"/>
      <c r="E56" s="62"/>
      <c r="F56" s="27"/>
      <c r="G56" s="28"/>
      <c r="H56" s="42"/>
      <c r="J56" s="2"/>
    </row>
    <row r="57" spans="1:10" ht="30" customHeight="1" x14ac:dyDescent="0.25">
      <c r="A57" s="9"/>
      <c r="B57" s="9"/>
      <c r="C57" s="47">
        <v>5</v>
      </c>
      <c r="D57" s="29" t="s">
        <v>34</v>
      </c>
      <c r="E57" s="53"/>
      <c r="F57" s="54"/>
      <c r="G57" s="55"/>
      <c r="H57" s="42"/>
      <c r="J57" s="2"/>
    </row>
    <row r="58" spans="1:10" ht="30" customHeight="1" x14ac:dyDescent="0.25">
      <c r="A58" s="16"/>
      <c r="B58" s="16"/>
      <c r="C58" s="45" t="s">
        <v>69</v>
      </c>
      <c r="D58" s="21" t="s">
        <v>112</v>
      </c>
      <c r="E58" s="57">
        <v>8</v>
      </c>
      <c r="F58" s="58">
        <v>19</v>
      </c>
      <c r="G58" s="59">
        <v>36</v>
      </c>
      <c r="H58" s="42">
        <f t="shared" si="0"/>
        <v>20</v>
      </c>
      <c r="J58" s="2"/>
    </row>
    <row r="59" spans="1:10" ht="30" customHeight="1" x14ac:dyDescent="0.25">
      <c r="A59" s="16"/>
      <c r="B59" s="16"/>
      <c r="C59" s="45" t="s">
        <v>70</v>
      </c>
      <c r="D59" s="21" t="s">
        <v>113</v>
      </c>
      <c r="E59" s="57">
        <v>4</v>
      </c>
      <c r="F59" s="58">
        <v>9</v>
      </c>
      <c r="G59" s="59">
        <v>18</v>
      </c>
      <c r="H59" s="42">
        <f t="shared" si="0"/>
        <v>9.6666666666666661</v>
      </c>
      <c r="J59" s="2"/>
    </row>
    <row r="60" spans="1:10" ht="30" customHeight="1" x14ac:dyDescent="0.25">
      <c r="A60" s="16"/>
      <c r="B60" s="16"/>
      <c r="C60" s="45" t="s">
        <v>71</v>
      </c>
      <c r="D60" s="25" t="s">
        <v>114</v>
      </c>
      <c r="E60" s="60">
        <v>40</v>
      </c>
      <c r="F60" s="61">
        <v>100</v>
      </c>
      <c r="G60" s="67">
        <v>120</v>
      </c>
      <c r="H60" s="42">
        <f t="shared" si="0"/>
        <v>93.333333333333329</v>
      </c>
      <c r="J60" s="2"/>
    </row>
    <row r="61" spans="1:10" ht="20.100000000000001" customHeight="1" x14ac:dyDescent="0.25">
      <c r="A61" s="16"/>
      <c r="B61" s="16"/>
      <c r="C61" s="45" t="s">
        <v>72</v>
      </c>
      <c r="D61" s="21" t="s">
        <v>115</v>
      </c>
      <c r="E61" s="57">
        <v>2</v>
      </c>
      <c r="F61" s="58">
        <v>6</v>
      </c>
      <c r="G61" s="59">
        <v>10</v>
      </c>
      <c r="H61" s="42">
        <f t="shared" si="0"/>
        <v>6</v>
      </c>
      <c r="J61" s="2"/>
    </row>
    <row r="62" spans="1:10" ht="30" customHeight="1" x14ac:dyDescent="0.25">
      <c r="A62" s="16"/>
      <c r="B62" s="30"/>
      <c r="C62" s="48"/>
      <c r="D62" s="22"/>
      <c r="E62" s="62"/>
      <c r="F62" s="27"/>
      <c r="G62" s="28"/>
      <c r="H62" s="42"/>
      <c r="J62" s="2"/>
    </row>
    <row r="63" spans="1:10" ht="30" customHeight="1" x14ac:dyDescent="0.25">
      <c r="A63" s="9"/>
      <c r="B63" s="32"/>
      <c r="C63" s="49">
        <v>6</v>
      </c>
      <c r="D63" s="33" t="s">
        <v>35</v>
      </c>
      <c r="E63" s="53"/>
      <c r="F63" s="54"/>
      <c r="G63" s="55"/>
      <c r="H63" s="42"/>
      <c r="J63" s="2"/>
    </row>
    <row r="64" spans="1:10" ht="30" customHeight="1" x14ac:dyDescent="0.25">
      <c r="A64" s="16"/>
      <c r="B64" s="16"/>
      <c r="C64" s="45" t="s">
        <v>73</v>
      </c>
      <c r="D64" s="21" t="s">
        <v>116</v>
      </c>
      <c r="E64" s="57">
        <v>4</v>
      </c>
      <c r="F64" s="58">
        <v>12</v>
      </c>
      <c r="G64" s="59">
        <v>18</v>
      </c>
      <c r="H64" s="42">
        <f t="shared" ref="H64:H69" si="1">(E64 + 4*F64 + G64)/6</f>
        <v>11.666666666666666</v>
      </c>
      <c r="J64" s="2"/>
    </row>
    <row r="65" spans="1:10" ht="30" customHeight="1" x14ac:dyDescent="0.25">
      <c r="A65" s="16"/>
      <c r="B65" s="16"/>
      <c r="C65" s="45" t="s">
        <v>74</v>
      </c>
      <c r="D65" s="21" t="s">
        <v>117</v>
      </c>
      <c r="E65" s="57">
        <v>5</v>
      </c>
      <c r="F65" s="58">
        <v>9</v>
      </c>
      <c r="G65" s="59">
        <v>22</v>
      </c>
      <c r="H65" s="42">
        <f t="shared" si="1"/>
        <v>10.5</v>
      </c>
      <c r="J65" s="2"/>
    </row>
    <row r="66" spans="1:10" ht="30" customHeight="1" x14ac:dyDescent="0.25">
      <c r="A66" s="16"/>
      <c r="B66" s="16"/>
      <c r="C66" s="45" t="s">
        <v>75</v>
      </c>
      <c r="D66" s="21" t="s">
        <v>118</v>
      </c>
      <c r="E66" s="57">
        <v>36</v>
      </c>
      <c r="F66" s="58">
        <v>98</v>
      </c>
      <c r="G66" s="59">
        <v>124</v>
      </c>
      <c r="H66" s="42">
        <f t="shared" si="1"/>
        <v>92</v>
      </c>
      <c r="J66" s="2"/>
    </row>
    <row r="67" spans="1:10" ht="30" customHeight="1" x14ac:dyDescent="0.25">
      <c r="A67" s="16"/>
      <c r="B67" s="16"/>
      <c r="C67" s="45" t="s">
        <v>76</v>
      </c>
      <c r="D67" s="21" t="s">
        <v>119</v>
      </c>
      <c r="E67" s="57">
        <v>4</v>
      </c>
      <c r="F67" s="58">
        <v>12</v>
      </c>
      <c r="G67" s="59">
        <v>18</v>
      </c>
      <c r="H67" s="42">
        <f t="shared" si="1"/>
        <v>11.666666666666666</v>
      </c>
      <c r="J67" s="2"/>
    </row>
    <row r="68" spans="1:10" ht="20.100000000000001" customHeight="1" x14ac:dyDescent="0.25">
      <c r="A68" s="16"/>
      <c r="B68" s="16"/>
      <c r="C68" s="45" t="s">
        <v>120</v>
      </c>
      <c r="D68" s="21" t="s">
        <v>121</v>
      </c>
      <c r="E68" s="57">
        <v>6</v>
      </c>
      <c r="F68" s="58">
        <v>11</v>
      </c>
      <c r="G68" s="59">
        <v>20</v>
      </c>
      <c r="H68" s="42">
        <f t="shared" si="1"/>
        <v>11.666666666666666</v>
      </c>
      <c r="J68" s="2"/>
    </row>
    <row r="69" spans="1:10" ht="30" customHeight="1" x14ac:dyDescent="0.25">
      <c r="A69" s="30"/>
      <c r="B69" s="30"/>
      <c r="C69" s="45" t="s">
        <v>124</v>
      </c>
      <c r="D69" s="22" t="s">
        <v>122</v>
      </c>
      <c r="E69" s="57">
        <v>8</v>
      </c>
      <c r="F69" s="62">
        <v>14</v>
      </c>
      <c r="G69" s="59">
        <v>28</v>
      </c>
      <c r="H69" s="42">
        <f t="shared" si="1"/>
        <v>15.333333333333334</v>
      </c>
      <c r="J69" s="2"/>
    </row>
    <row r="70" spans="1:10" ht="30" customHeight="1" x14ac:dyDescent="0.25">
      <c r="A70" s="30"/>
      <c r="B70" s="30"/>
      <c r="C70" s="45" t="s">
        <v>125</v>
      </c>
      <c r="D70" s="22" t="s">
        <v>123</v>
      </c>
      <c r="E70" s="57">
        <v>12</v>
      </c>
      <c r="F70" s="62">
        <v>7</v>
      </c>
      <c r="G70" s="59">
        <v>18</v>
      </c>
    </row>
    <row r="71" spans="1:10" ht="30" customHeight="1" x14ac:dyDescent="0.25">
      <c r="A71" s="34" t="s">
        <v>36</v>
      </c>
      <c r="B71" s="16"/>
      <c r="C71" s="31"/>
      <c r="D71" s="27"/>
      <c r="E71" s="35">
        <f>SUM(E6:E70)</f>
        <v>276</v>
      </c>
      <c r="F71" s="35">
        <f>SUM(F11:F68)</f>
        <v>661</v>
      </c>
      <c r="G71" s="35">
        <f>SUM(G11:G69)</f>
        <v>1068</v>
      </c>
      <c r="H71" s="35">
        <f>SUM(H6:H69)</f>
        <v>672</v>
      </c>
    </row>
    <row r="72" spans="1:10" ht="30" customHeight="1" x14ac:dyDescent="0.2"/>
    <row r="73" spans="1:10" ht="30" customHeight="1" x14ac:dyDescent="0.2"/>
    <row r="74" spans="1:10" ht="30" customHeight="1" x14ac:dyDescent="0.2"/>
    <row r="75" spans="1:10" ht="30" customHeight="1" x14ac:dyDescent="0.2"/>
    <row r="78" spans="1:10" ht="15.75" x14ac:dyDescent="0.2">
      <c r="A78" s="2"/>
      <c r="B78" s="2"/>
      <c r="C78" s="2"/>
      <c r="D78" s="2"/>
      <c r="E78" s="2"/>
      <c r="F78" s="2"/>
      <c r="G78" s="2"/>
      <c r="J78" s="2"/>
    </row>
    <row r="79" spans="1:10" ht="15.75" x14ac:dyDescent="0.2">
      <c r="A79" s="2"/>
      <c r="B79" s="2"/>
      <c r="C79" s="2"/>
      <c r="D79" s="2"/>
      <c r="E79" s="2"/>
      <c r="F79" s="2"/>
      <c r="G79" s="2"/>
      <c r="J79" s="2"/>
    </row>
  </sheetData>
  <mergeCells count="6">
    <mergeCell ref="A1:C6"/>
    <mergeCell ref="D4:E4"/>
    <mergeCell ref="D5:E5"/>
    <mergeCell ref="D6:E6"/>
    <mergeCell ref="D7:E7"/>
    <mergeCell ref="D3:E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Агамет Агаметов</dc:creator>
  <cp:lastModifiedBy>neymarchek20@gmail.com</cp:lastModifiedBy>
  <dcterms:created xsi:type="dcterms:W3CDTF">2026-05-02T09:18:34Z</dcterms:created>
  <dcterms:modified xsi:type="dcterms:W3CDTF">2026-05-30T06:07:27Z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2026-05-02T00:00:00Z</vt:filetime>
  </property>
  <property fmtid="{D5CDD505-2E9C-101B-9397-08002B2CF9AE}" pid="4" name="LastSaved">
    <vt:filetime>2026-05-02T00:00:00Z</vt:filetime>
  </property>
  <property fmtid="{D5CDD505-2E9C-101B-9397-08002B2CF9AE}" pid="5" name="Producer">
    <vt:lpwstr>iLovePDF</vt:lpwstr>
  </property>
</Properties>
</file>